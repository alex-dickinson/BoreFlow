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south_hetton/raw_data/"/>
    </mc:Choice>
  </mc:AlternateContent>
  <xr:revisionPtr revIDLastSave="0" documentId="13_ncr:1_{3FBB7ECE-EA23-C346-B270-0AA7FFAE8028}" xr6:coauthVersionLast="46" xr6:coauthVersionMax="46" xr10:uidLastSave="{00000000-0000-0000-0000-000000000000}"/>
  <bookViews>
    <workbookView xWindow="2500" yWindow="5300" windowWidth="26900" windowHeight="137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1" i="1" l="1"/>
  <c r="I12" i="1"/>
  <c r="I13" i="1"/>
  <c r="H11" i="1"/>
  <c r="H12" i="1"/>
  <c r="H13" i="1"/>
  <c r="G11" i="1"/>
  <c r="G12" i="1"/>
  <c r="G13" i="1"/>
  <c r="F11" i="1"/>
  <c r="F12" i="1"/>
  <c r="F13" i="1"/>
  <c r="I2" i="1"/>
  <c r="I3" i="1"/>
  <c r="I4" i="1"/>
  <c r="I5" i="1"/>
  <c r="I6" i="1"/>
  <c r="I7" i="1"/>
  <c r="I8" i="1"/>
  <c r="I9" i="1"/>
  <c r="G2" i="1"/>
  <c r="G3" i="1"/>
  <c r="G4" i="1"/>
  <c r="G5" i="1"/>
  <c r="G6" i="1"/>
  <c r="G7" i="1"/>
  <c r="G8" i="1"/>
  <c r="G9" i="1"/>
  <c r="H3" i="1"/>
  <c r="H4" i="1"/>
  <c r="H5" i="1"/>
  <c r="H6" i="1"/>
  <c r="H7" i="1"/>
  <c r="H8" i="1"/>
  <c r="H9" i="1"/>
  <c r="H2" i="1"/>
  <c r="F9" i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<sst xmlns="http://schemas.openxmlformats.org/spreadsheetml/2006/main" count="53" uniqueCount="20">
  <si>
    <t>Year</t>
  </si>
  <si>
    <t>Month</t>
  </si>
  <si>
    <t>Day</t>
  </si>
  <si>
    <t>Depth(ft)</t>
  </si>
  <si>
    <t>Depth_error(ft)</t>
  </si>
  <si>
    <t>Depth(m)</t>
  </si>
  <si>
    <t>Depth_error(m)</t>
  </si>
  <si>
    <t>Temperature(degrees_C)</t>
  </si>
  <si>
    <t>Temperature_error(degrees_C)</t>
  </si>
  <si>
    <t>Notes</t>
  </si>
  <si>
    <t>unstated</t>
  </si>
  <si>
    <t>Temperature(degrees_F)</t>
  </si>
  <si>
    <t>Temperature_error(degrees_F)</t>
  </si>
  <si>
    <t>Bott1972 does not use this measurement - Everett1873_sixth_report_pg254 states that unreliable</t>
  </si>
  <si>
    <t>Use?</t>
  </si>
  <si>
    <t>y</t>
  </si>
  <si>
    <t>n</t>
  </si>
  <si>
    <t>Source: - Everett1872pg132to133 - data measured in 1872 (borehole drilled 1869). Measured using Negretti thermometer Also in Bott (1972), pg 285 Table 3. Prestwich1886 reports the same records - site 136 in his tables</t>
  </si>
  <si>
    <t>Source: - Everett1872pg132to133 - data measured in 1869 during drilling therefore less reliable</t>
  </si>
  <si>
    <t>The journals of the shaft and bore have been preserved by the North of England Institute of Mining and Mechanical Engineers (1894). See Anderson1940 pg. 13of19 for full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</si>
</sst>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F10" sqref="F10:J10"/>
    </sheetView>
  </sheetViews>
  <sheetFormatPr baseColWidth="10" defaultColWidth="8.83203125" defaultRowHeight="15" x14ac:dyDescent="0.2"/>
  <cols>
    <col min="5" max="5" width="16.33203125" customWidth="1"/>
    <col min="7" max="7" width="14" customWidth="1"/>
    <col min="8" max="8" width="24.5" customWidth="1"/>
    <col min="9" max="11" width="28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</v>
      </c>
      <c r="K1" t="s">
        <v>12</v>
      </c>
      <c r="L1" t="s">
        <v>14</v>
      </c>
      <c r="M1" t="s">
        <v>9</v>
      </c>
    </row>
    <row r="2" spans="1:13" x14ac:dyDescent="0.2">
      <c r="A2">
        <v>1872</v>
      </c>
      <c r="B2">
        <v>4</v>
      </c>
      <c r="D2">
        <v>1166</v>
      </c>
      <c r="E2" t="s">
        <v>10</v>
      </c>
      <c r="F2">
        <f>CONVERT(D2,"ft","m")</f>
        <v>355.39679999999998</v>
      </c>
      <c r="G2" t="e">
        <f>CONVERT(E2,"ft","m")</f>
        <v>#VALUE!</v>
      </c>
      <c r="H2">
        <f>CONVERT(J2, "F", "C")</f>
        <v>18.888888888888889</v>
      </c>
      <c r="I2" t="e">
        <f>CONVERT(K2, "F", "C")</f>
        <v>#VALUE!</v>
      </c>
      <c r="J2">
        <v>66</v>
      </c>
      <c r="K2" t="s">
        <v>10</v>
      </c>
      <c r="L2" t="s">
        <v>15</v>
      </c>
      <c r="M2" t="s">
        <v>17</v>
      </c>
    </row>
    <row r="3" spans="1:13" x14ac:dyDescent="0.2">
      <c r="A3">
        <v>1872</v>
      </c>
      <c r="B3">
        <v>4</v>
      </c>
      <c r="D3">
        <v>1266</v>
      </c>
      <c r="E3" t="s">
        <v>10</v>
      </c>
      <c r="F3">
        <f t="shared" ref="F3:G13" si="0">CONVERT(D3,"ft","m")</f>
        <v>385.8768</v>
      </c>
      <c r="G3" t="e">
        <f t="shared" si="0"/>
        <v>#VALUE!</v>
      </c>
      <c r="H3">
        <f t="shared" ref="H3:I13" si="1">CONVERT(J3, "F", "C")</f>
        <v>20.416666666666668</v>
      </c>
      <c r="I3" t="e">
        <f t="shared" si="1"/>
        <v>#VALUE!</v>
      </c>
      <c r="J3">
        <v>68.75</v>
      </c>
      <c r="K3" t="s">
        <v>10</v>
      </c>
      <c r="L3" t="s">
        <v>15</v>
      </c>
    </row>
    <row r="4" spans="1:13" x14ac:dyDescent="0.2">
      <c r="A4">
        <v>1872</v>
      </c>
      <c r="B4">
        <v>4</v>
      </c>
      <c r="D4">
        <v>1366</v>
      </c>
      <c r="E4" t="s">
        <v>10</v>
      </c>
      <c r="F4">
        <f t="shared" si="0"/>
        <v>416.35680000000002</v>
      </c>
      <c r="G4" t="e">
        <f t="shared" si="0"/>
        <v>#VALUE!</v>
      </c>
      <c r="H4">
        <f t="shared" si="1"/>
        <v>21.111111111111111</v>
      </c>
      <c r="I4" t="e">
        <f t="shared" si="1"/>
        <v>#VALUE!</v>
      </c>
      <c r="J4">
        <v>70</v>
      </c>
      <c r="K4" t="s">
        <v>10</v>
      </c>
      <c r="L4" t="s">
        <v>15</v>
      </c>
    </row>
    <row r="5" spans="1:13" x14ac:dyDescent="0.2">
      <c r="A5">
        <v>1872</v>
      </c>
      <c r="B5">
        <v>4</v>
      </c>
      <c r="D5">
        <v>1466</v>
      </c>
      <c r="E5" t="s">
        <v>10</v>
      </c>
      <c r="F5">
        <f t="shared" si="0"/>
        <v>446.83679999999998</v>
      </c>
      <c r="G5" t="e">
        <f t="shared" si="0"/>
        <v>#VALUE!</v>
      </c>
      <c r="H5">
        <f t="shared" si="1"/>
        <v>22.222222222222221</v>
      </c>
      <c r="I5" t="e">
        <f t="shared" si="1"/>
        <v>#VALUE!</v>
      </c>
      <c r="J5">
        <v>72</v>
      </c>
      <c r="K5" t="s">
        <v>10</v>
      </c>
      <c r="L5" t="s">
        <v>15</v>
      </c>
    </row>
    <row r="6" spans="1:13" x14ac:dyDescent="0.2">
      <c r="A6">
        <v>1872</v>
      </c>
      <c r="B6">
        <v>4</v>
      </c>
      <c r="D6">
        <v>1566</v>
      </c>
      <c r="E6" t="s">
        <v>10</v>
      </c>
      <c r="F6">
        <f t="shared" si="0"/>
        <v>477.3168</v>
      </c>
      <c r="G6" t="e">
        <f t="shared" si="0"/>
        <v>#VALUE!</v>
      </c>
      <c r="H6">
        <f t="shared" si="1"/>
        <v>23.611111111111111</v>
      </c>
      <c r="I6" t="e">
        <f t="shared" si="1"/>
        <v>#VALUE!</v>
      </c>
      <c r="J6">
        <v>74.5</v>
      </c>
      <c r="K6" t="s">
        <v>10</v>
      </c>
      <c r="L6" t="s">
        <v>15</v>
      </c>
    </row>
    <row r="7" spans="1:13" x14ac:dyDescent="0.2">
      <c r="A7">
        <v>1872</v>
      </c>
      <c r="B7">
        <v>4</v>
      </c>
      <c r="D7">
        <v>1666</v>
      </c>
      <c r="E7" t="s">
        <v>10</v>
      </c>
      <c r="F7">
        <f t="shared" si="0"/>
        <v>507.79680000000002</v>
      </c>
      <c r="G7" t="e">
        <f t="shared" si="0"/>
        <v>#VALUE!</v>
      </c>
      <c r="H7">
        <f t="shared" si="1"/>
        <v>24.513888888888889</v>
      </c>
      <c r="I7" t="e">
        <f t="shared" si="1"/>
        <v>#VALUE!</v>
      </c>
      <c r="J7">
        <v>76.125</v>
      </c>
      <c r="K7" t="s">
        <v>10</v>
      </c>
      <c r="L7" t="s">
        <v>15</v>
      </c>
    </row>
    <row r="8" spans="1:13" x14ac:dyDescent="0.2">
      <c r="A8">
        <v>1872</v>
      </c>
      <c r="B8">
        <v>4</v>
      </c>
      <c r="D8">
        <v>1710</v>
      </c>
      <c r="E8" t="s">
        <v>10</v>
      </c>
      <c r="F8">
        <f t="shared" si="0"/>
        <v>521.20799999999997</v>
      </c>
      <c r="G8" t="e">
        <f t="shared" si="0"/>
        <v>#VALUE!</v>
      </c>
      <c r="H8">
        <f t="shared" si="1"/>
        <v>23.888888888888889</v>
      </c>
      <c r="I8" t="e">
        <f t="shared" si="1"/>
        <v>#VALUE!</v>
      </c>
      <c r="J8">
        <v>75</v>
      </c>
      <c r="K8" t="s">
        <v>10</v>
      </c>
      <c r="L8" t="s">
        <v>16</v>
      </c>
      <c r="M8" t="s">
        <v>13</v>
      </c>
    </row>
    <row r="9" spans="1:13" x14ac:dyDescent="0.2">
      <c r="A9">
        <v>1872</v>
      </c>
      <c r="B9">
        <v>4</v>
      </c>
      <c r="D9">
        <v>1736</v>
      </c>
      <c r="E9" t="s">
        <v>10</v>
      </c>
      <c r="F9">
        <f t="shared" si="0"/>
        <v>529.13279999999997</v>
      </c>
      <c r="G9" t="e">
        <f t="shared" si="0"/>
        <v>#VALUE!</v>
      </c>
      <c r="H9">
        <f t="shared" si="1"/>
        <v>25.069444444444443</v>
      </c>
      <c r="I9" t="e">
        <f t="shared" si="1"/>
        <v>#VALUE!</v>
      </c>
      <c r="J9">
        <v>77.125</v>
      </c>
      <c r="K9" t="s">
        <v>10</v>
      </c>
      <c r="L9" t="s">
        <v>15</v>
      </c>
    </row>
    <row r="11" spans="1:13" x14ac:dyDescent="0.2">
      <c r="A11">
        <v>1869</v>
      </c>
      <c r="B11">
        <v>4</v>
      </c>
      <c r="D11">
        <v>1354</v>
      </c>
      <c r="E11" t="s">
        <v>10</v>
      </c>
      <c r="F11">
        <f t="shared" si="0"/>
        <v>412.69920000000002</v>
      </c>
      <c r="G11" t="e">
        <f t="shared" si="0"/>
        <v>#VALUE!</v>
      </c>
      <c r="H11">
        <f t="shared" si="1"/>
        <v>22.222222222222221</v>
      </c>
      <c r="I11" t="e">
        <f t="shared" si="1"/>
        <v>#VALUE!</v>
      </c>
      <c r="J11">
        <v>72</v>
      </c>
      <c r="K11" t="s">
        <v>10</v>
      </c>
      <c r="L11" t="s">
        <v>15</v>
      </c>
      <c r="M11" t="s">
        <v>18</v>
      </c>
    </row>
    <row r="12" spans="1:13" x14ac:dyDescent="0.2">
      <c r="A12">
        <v>1869</v>
      </c>
      <c r="B12">
        <v>4</v>
      </c>
      <c r="D12">
        <v>1648</v>
      </c>
      <c r="E12" t="s">
        <v>10</v>
      </c>
      <c r="F12">
        <f t="shared" si="0"/>
        <v>502.31040000000002</v>
      </c>
      <c r="G12" t="e">
        <f t="shared" si="0"/>
        <v>#VALUE!</v>
      </c>
      <c r="H12">
        <f t="shared" si="1"/>
        <v>27.777777777777779</v>
      </c>
      <c r="I12" t="e">
        <f t="shared" si="1"/>
        <v>#VALUE!</v>
      </c>
      <c r="J12">
        <v>82</v>
      </c>
      <c r="K12" t="s">
        <v>10</v>
      </c>
      <c r="L12" t="s">
        <v>15</v>
      </c>
      <c r="M12" t="s">
        <v>18</v>
      </c>
    </row>
    <row r="13" spans="1:13" x14ac:dyDescent="0.2">
      <c r="A13">
        <v>1869</v>
      </c>
      <c r="B13">
        <v>4</v>
      </c>
      <c r="D13">
        <v>1924</v>
      </c>
      <c r="E13" t="s">
        <v>10</v>
      </c>
      <c r="F13">
        <f t="shared" si="0"/>
        <v>586.43520000000001</v>
      </c>
      <c r="G13" t="e">
        <f t="shared" si="0"/>
        <v>#VALUE!</v>
      </c>
      <c r="H13">
        <f t="shared" si="1"/>
        <v>35.555555555555557</v>
      </c>
      <c r="I13" t="e">
        <f t="shared" si="1"/>
        <v>#VALUE!</v>
      </c>
      <c r="J13">
        <v>96</v>
      </c>
      <c r="K13" t="s">
        <v>10</v>
      </c>
      <c r="L13" t="s">
        <v>15</v>
      </c>
      <c r="M13" t="s">
        <v>18</v>
      </c>
    </row>
    <row r="14" spans="1:13" x14ac:dyDescent="0.2">
      <c r="H14" s="1"/>
    </row>
    <row r="15" spans="1:13" x14ac:dyDescent="0.2">
      <c r="H15" s="1"/>
    </row>
    <row r="16" spans="1:13" x14ac:dyDescent="0.2">
      <c r="E16" t="s">
        <v>19</v>
      </c>
      <c r="G16" s="1"/>
      <c r="L16" t="s">
        <v>16</v>
      </c>
    </row>
    <row r="17" spans="7:7" x14ac:dyDescent="0.2">
      <c r="G17" s="1"/>
    </row>
    <row r="18" spans="7:7" x14ac:dyDescent="0.2">
      <c r="G18" s="1"/>
    </row>
    <row r="19" spans="7:7" x14ac:dyDescent="0.2">
      <c r="G19" s="1"/>
    </row>
    <row r="20" spans="7:7" x14ac:dyDescent="0.2">
      <c r="G20" s="1"/>
    </row>
    <row r="21" spans="7:7" x14ac:dyDescent="0.2">
      <c r="G21" s="1"/>
    </row>
    <row r="22" spans="7:7" x14ac:dyDescent="0.2">
      <c r="G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2020-09-03T13:55:39Z</dcterms:created>
  <dcterms:modified xsi:type="dcterms:W3CDTF">2021-01-19T13:11:11Z</dcterms:modified>
  <cp:category/>
  <cp:contentStatus/>
</cp:coreProperties>
</file>