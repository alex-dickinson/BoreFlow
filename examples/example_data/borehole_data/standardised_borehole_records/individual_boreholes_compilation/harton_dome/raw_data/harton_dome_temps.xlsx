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harton_dome/raw_data/"/>
    </mc:Choice>
  </mc:AlternateContent>
  <xr:revisionPtr revIDLastSave="0" documentId="13_ncr:1_{50D36109-254E-A64A-98B3-C4E67643B062}" xr6:coauthVersionLast="46" xr6:coauthVersionMax="46" xr10:uidLastSave="{00000000-0000-0000-0000-000000000000}"/>
  <bookViews>
    <workbookView xWindow="2700" yWindow="4720" windowWidth="34940" windowHeight="15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H7" i="1"/>
  <c r="H8" i="1"/>
  <c r="H9" i="1"/>
  <c r="H10" i="1"/>
  <c r="H11" i="1"/>
  <c r="H12" i="1"/>
  <c r="H13" i="1"/>
  <c r="H6" i="1"/>
  <c r="G6" i="1"/>
  <c r="G7" i="1"/>
  <c r="G8" i="1"/>
  <c r="G9" i="1"/>
  <c r="G10" i="1"/>
  <c r="G11" i="1"/>
  <c r="G12" i="1"/>
  <c r="G13" i="1"/>
  <c r="F7" i="1"/>
  <c r="F8" i="1"/>
  <c r="F9" i="1"/>
  <c r="F10" i="1"/>
  <c r="F11" i="1"/>
  <c r="F12" i="1"/>
  <c r="F13" i="1"/>
  <c r="F6" i="1"/>
</calcChain>
</file>

<file path=xl/sharedStrings.xml><?xml version="1.0" encoding="utf-8"?>
<sst xmlns="http://schemas.openxmlformats.org/spreadsheetml/2006/main" count="53" uniqueCount="26">
  <si>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</si>
  <si>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</si>
  <si>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</si>
  <si>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</si>
  <si>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</si>
  <si>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</si>
  <si>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</si>
  <si>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</si>
  <si>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</si>
  <si>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</si>
  <si>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</si>
  <si>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</si>
  <si>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</si>
  <si>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</si>
  <si>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Type: DST? Source: pg3of30 in "HARTONDOME1_PetroleumEngineeringReport.pdf"</t>
  </si>
  <si>
    <t>Type: DST? Source: pg5of30 in "HARTONDOME1_PetroleumEngineeringReport.pdf"</t>
  </si>
  <si>
    <t>Type: DST? Source: pg7of30 in "HARTONDOME1_PetroleumEngineeringReport.pdf"</t>
  </si>
  <si>
    <t>Type: DST? Source: pg9of30 in "HARTONDOME1_PetroleumEngineeringReport.pdf"</t>
  </si>
  <si>
    <t>Type: DST? Source: pg11of30 in "HARTONDOME1_PetroleumEngineeringReport.pdf"</t>
  </si>
  <si>
    <t>Type: DST? Source: pg14of30 in "HARTONDOME1_PetroleumEngineeringReport.pdf"</t>
  </si>
  <si>
    <t>Type: DST? Source: pg16of30 in "HARTONDOME1_PetroleumEngineeringReport.pdf"</t>
  </si>
  <si>
    <t>Type: DST? Noted as "estimated". Source: pg20of30 in "HARTONDOME1_PetroleumEngineeringReport.pdf"</t>
  </si>
  <si>
    <t>unstated</t>
  </si>
  <si>
    <t>Type: DST. Same as deepest one below? Source: Burley1984 pg44of161. BGS don't have digital logs listed in database</t>
  </si>
  <si>
    <t>Type: LOG. Where is original source? Source: Burley1984 pg44of161. BGS don't have digital logs listed in database</t>
  </si>
  <si>
    <t>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</si>
</sst>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K8" sqref="K8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F2" s="1">
        <v>1322</v>
      </c>
      <c r="G2" t="s">
        <v>22</v>
      </c>
      <c r="H2">
        <v>44.8</v>
      </c>
      <c r="I2" t="s">
        <v>22</v>
      </c>
      <c r="L2" t="s">
        <v>25</v>
      </c>
      <c r="M2" t="s">
        <v>23</v>
      </c>
    </row>
    <row r="3" spans="1:13" x14ac:dyDescent="0.2">
      <c r="F3" s="1">
        <v>1768</v>
      </c>
      <c r="G3" t="s">
        <v>22</v>
      </c>
      <c r="H3">
        <v>68.900000000000006</v>
      </c>
      <c r="I3" t="s">
        <v>22</v>
      </c>
      <c r="L3" t="s">
        <v>13</v>
      </c>
      <c r="M3" t="s">
        <v>24</v>
      </c>
    </row>
    <row r="4" spans="1:13" x14ac:dyDescent="0.2">
      <c r="F4" s="1"/>
    </row>
    <row r="5" spans="1:13" x14ac:dyDescent="0.2">
      <c r="F5" s="1"/>
    </row>
    <row r="6" spans="1:13" x14ac:dyDescent="0.2">
      <c r="D6">
        <v>1940</v>
      </c>
      <c r="E6" t="s">
        <v>22</v>
      </c>
      <c r="F6" s="1">
        <f>CONVERT(D6,"ft","m")</f>
        <v>591.31200000000001</v>
      </c>
      <c r="G6" s="1" t="e">
        <f>CONVERT(E6,"ft","m")</f>
        <v>#VALUE!</v>
      </c>
      <c r="H6">
        <f>CONVERT(J6,"F","C")</f>
        <v>21.111111111111111</v>
      </c>
      <c r="I6" t="e">
        <f>CONVERT(K6,"F","C")</f>
        <v>#VALUE!</v>
      </c>
      <c r="J6">
        <v>70</v>
      </c>
      <c r="K6" t="s">
        <v>22</v>
      </c>
      <c r="L6" t="s">
        <v>13</v>
      </c>
      <c r="M6" t="s">
        <v>14</v>
      </c>
    </row>
    <row r="7" spans="1:13" x14ac:dyDescent="0.2">
      <c r="D7">
        <v>2152</v>
      </c>
      <c r="E7" t="s">
        <v>22</v>
      </c>
      <c r="F7" s="1">
        <f t="shared" ref="F7:G13" si="0">CONVERT(D7,"ft","m")</f>
        <v>655.92960000000005</v>
      </c>
      <c r="G7" s="1" t="e">
        <f t="shared" si="0"/>
        <v>#VALUE!</v>
      </c>
      <c r="H7">
        <f t="shared" ref="H7:I13" si="1">CONVERT(J7,"F","C")</f>
        <v>31.666666666666664</v>
      </c>
      <c r="I7" t="e">
        <f t="shared" si="1"/>
        <v>#VALUE!</v>
      </c>
      <c r="J7">
        <v>89</v>
      </c>
      <c r="K7" t="s">
        <v>22</v>
      </c>
      <c r="L7" t="s">
        <v>13</v>
      </c>
      <c r="M7" t="s">
        <v>15</v>
      </c>
    </row>
    <row r="8" spans="1:13" x14ac:dyDescent="0.2">
      <c r="D8">
        <v>2385</v>
      </c>
      <c r="E8" t="s">
        <v>22</v>
      </c>
      <c r="F8" s="1">
        <f t="shared" si="0"/>
        <v>726.94799999999998</v>
      </c>
      <c r="G8" s="1" t="e">
        <f t="shared" si="0"/>
        <v>#VALUE!</v>
      </c>
      <c r="H8">
        <f t="shared" si="1"/>
        <v>33.888888888888886</v>
      </c>
      <c r="I8" t="e">
        <f t="shared" si="1"/>
        <v>#VALUE!</v>
      </c>
      <c r="J8">
        <v>93</v>
      </c>
      <c r="K8" t="s">
        <v>22</v>
      </c>
      <c r="L8" t="s">
        <v>13</v>
      </c>
      <c r="M8" t="s">
        <v>16</v>
      </c>
    </row>
    <row r="9" spans="1:13" x14ac:dyDescent="0.2">
      <c r="D9">
        <v>2957</v>
      </c>
      <c r="E9" t="s">
        <v>22</v>
      </c>
      <c r="F9" s="1">
        <f t="shared" si="0"/>
        <v>901.29359999999997</v>
      </c>
      <c r="G9" s="1" t="e">
        <f t="shared" si="0"/>
        <v>#VALUE!</v>
      </c>
      <c r="H9">
        <f t="shared" si="1"/>
        <v>37.222222222222221</v>
      </c>
      <c r="I9" t="e">
        <f t="shared" si="1"/>
        <v>#VALUE!</v>
      </c>
      <c r="J9">
        <v>99</v>
      </c>
      <c r="K9" t="s">
        <v>22</v>
      </c>
      <c r="L9" t="s">
        <v>13</v>
      </c>
      <c r="M9" s="2" t="s">
        <v>17</v>
      </c>
    </row>
    <row r="10" spans="1:13" x14ac:dyDescent="0.2">
      <c r="D10">
        <v>3192</v>
      </c>
      <c r="E10" t="s">
        <v>22</v>
      </c>
      <c r="F10" s="1">
        <f t="shared" si="0"/>
        <v>972.92160000000001</v>
      </c>
      <c r="G10" s="1" t="e">
        <f t="shared" si="0"/>
        <v>#VALUE!</v>
      </c>
      <c r="H10">
        <f t="shared" si="1"/>
        <v>39.444444444444443</v>
      </c>
      <c r="I10" t="e">
        <f t="shared" si="1"/>
        <v>#VALUE!</v>
      </c>
      <c r="J10">
        <v>103</v>
      </c>
      <c r="K10" t="s">
        <v>22</v>
      </c>
      <c r="L10" t="s">
        <v>13</v>
      </c>
      <c r="M10" s="2" t="s">
        <v>18</v>
      </c>
    </row>
    <row r="11" spans="1:13" x14ac:dyDescent="0.2">
      <c r="D11">
        <v>3357</v>
      </c>
      <c r="E11" t="s">
        <v>22</v>
      </c>
      <c r="F11" s="1">
        <f t="shared" si="0"/>
        <v>1023.2136</v>
      </c>
      <c r="G11" s="1" t="e">
        <f t="shared" si="0"/>
        <v>#VALUE!</v>
      </c>
      <c r="H11">
        <f t="shared" si="1"/>
        <v>40</v>
      </c>
      <c r="I11" t="e">
        <f t="shared" si="1"/>
        <v>#VALUE!</v>
      </c>
      <c r="J11">
        <v>104</v>
      </c>
      <c r="K11" t="s">
        <v>22</v>
      </c>
      <c r="L11" t="s">
        <v>13</v>
      </c>
      <c r="M11" s="2" t="s">
        <v>19</v>
      </c>
    </row>
    <row r="12" spans="1:13" x14ac:dyDescent="0.2">
      <c r="D12">
        <v>3802</v>
      </c>
      <c r="E12" t="s">
        <v>22</v>
      </c>
      <c r="F12" s="1">
        <f t="shared" si="0"/>
        <v>1158.8496</v>
      </c>
      <c r="G12" s="1" t="e">
        <f t="shared" si="0"/>
        <v>#VALUE!</v>
      </c>
      <c r="H12">
        <f t="shared" si="1"/>
        <v>41.111111111111107</v>
      </c>
      <c r="I12" t="e">
        <f t="shared" si="1"/>
        <v>#VALUE!</v>
      </c>
      <c r="J12">
        <v>106</v>
      </c>
      <c r="K12" t="s">
        <v>22</v>
      </c>
      <c r="L12" t="s">
        <v>13</v>
      </c>
      <c r="M12" s="2" t="s">
        <v>20</v>
      </c>
    </row>
    <row r="13" spans="1:13" x14ac:dyDescent="0.2">
      <c r="D13">
        <v>4358</v>
      </c>
      <c r="E13" t="s">
        <v>22</v>
      </c>
      <c r="F13" s="1">
        <f t="shared" si="0"/>
        <v>1328.3184000000001</v>
      </c>
      <c r="G13" s="1" t="e">
        <f t="shared" si="0"/>
        <v>#VALUE!</v>
      </c>
      <c r="H13">
        <f t="shared" si="1"/>
        <v>44.444444444444443</v>
      </c>
      <c r="I13" t="e">
        <f t="shared" si="1"/>
        <v>#VALUE!</v>
      </c>
      <c r="J13">
        <v>112</v>
      </c>
      <c r="K13" t="s">
        <v>22</v>
      </c>
      <c r="L13" t="s">
        <v>13</v>
      </c>
      <c r="M13" s="2" t="s">
        <v>21</v>
      </c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2021-01-18T13:39:46Z</dcterms:modified>
  <cp:category/>
  <cp:contentStatus/>
</cp:coreProperties>
</file>