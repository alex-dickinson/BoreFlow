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tocketts/raw_data/"/>
    </mc:Choice>
  </mc:AlternateContent>
  <xr:revisionPtr revIDLastSave="0" documentId="13_ncr:1_{C4A3342B-94EC-8E45-91FC-F59674960AAE}" xr6:coauthVersionLast="47" xr6:coauthVersionMax="47" xr10:uidLastSave="{00000000-0000-0000-0000-000000000000}"/>
  <bookViews>
    <workbookView xWindow="3900" yWindow="2300" windowWidth="28800" windowHeight="17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J4" i="1" s="1"/>
  <c r="I2" i="1"/>
  <c r="J2" i="1" s="1"/>
  <c r="F2" i="1"/>
  <c r="F4" i="1"/>
</calcChain>
</file>

<file path=xl/sharedStrings.xml><?xml version="1.0" encoding="utf-8"?>
<sst xmlns="http://schemas.openxmlformats.org/spreadsheetml/2006/main" count="24" uniqueCount="20">
  <si>
    <t>unstated</t>
  </si>
  <si>
    <t>y</t>
  </si>
  <si>
    <t>depth(ft)</t>
  </si>
  <si>
    <t>depth_error(ft)</t>
  </si>
  <si>
    <t>depth(m)</t>
  </si>
  <si>
    <t>year_cond_measurement</t>
  </si>
  <si>
    <t>month_cond_measurement</t>
  </si>
  <si>
    <t>day_cond_measurement</t>
  </si>
  <si>
    <t>conductivity(Wm-1K-1)</t>
  </si>
  <si>
    <t>conductivity(other_unit)</t>
  </si>
  <si>
    <t>use?</t>
  </si>
  <si>
    <t>notes</t>
  </si>
  <si>
    <t>conductivity_assigned_error(Wm-1K-1)</t>
  </si>
  <si>
    <t>conductivity_source_error(other_unit)</t>
  </si>
  <si>
    <t>Source: Bullard1951. Conductivity given in cal x10^-4 / (cm degree C sec). Lith: Permian light pink anhydrite. Uncertainties - pg. states that 4of17 states that measurement uncertainty 2% or less. Pg9of17 states that error due to changes with depth is 7% or less.</t>
  </si>
  <si>
    <t>Lith: Permian (Magnesian Limestone): Magnesian Limestone</t>
  </si>
  <si>
    <t>depth_quoted_error(m)</t>
  </si>
  <si>
    <t>depth_assigned_error(m)</t>
  </si>
  <si>
    <t>conductivity_quoted_error(Wm-1K-1)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</si>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</sst>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5" max="5" width="13.1640625" customWidth="1"/>
    <col min="7" max="7" width="13.1640625" customWidth="1"/>
    <col min="8" max="8" width="19.83203125" customWidth="1"/>
    <col min="9" max="10" width="24.83203125" customWidth="1"/>
    <col min="11" max="11" width="20.5" customWidth="1"/>
    <col min="12" max="12" width="24.83203125" customWidth="1"/>
  </cols>
  <sheetData>
    <row r="1" spans="1:15" s="2" customFormat="1" x14ac:dyDescent="0.2">
      <c r="A1" s="2" t="s">
        <v>5</v>
      </c>
      <c r="B1" s="2" t="s">
        <v>6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16</v>
      </c>
      <c r="H1" s="2" t="s">
        <v>17</v>
      </c>
      <c r="I1" s="2" t="s">
        <v>8</v>
      </c>
      <c r="J1" s="2" t="s">
        <v>18</v>
      </c>
      <c r="K1" s="2" t="s">
        <v>12</v>
      </c>
      <c r="L1" s="2" t="s">
        <v>9</v>
      </c>
      <c r="M1" s="2" t="s">
        <v>13</v>
      </c>
      <c r="N1" s="2" t="s">
        <v>10</v>
      </c>
      <c r="O1" s="2" t="s">
        <v>11</v>
      </c>
    </row>
    <row r="2" spans="1:15" x14ac:dyDescent="0.2">
      <c r="D2">
        <v>3178</v>
      </c>
      <c r="E2" t="s">
        <v>0</v>
      </c>
      <c r="F2" s="1">
        <f>CONVERT(D2,"ft","m")</f>
        <v>968.65440000000001</v>
      </c>
      <c r="G2" s="1" t="s">
        <v>0</v>
      </c>
      <c r="H2">
        <v>5</v>
      </c>
      <c r="I2" s="1">
        <f>CONVERT(L2,"cal","J")*0.01</f>
        <v>3.2657039999999999</v>
      </c>
      <c r="J2">
        <f>0.02*I2</f>
        <v>6.5314079999999997E-2</v>
      </c>
      <c r="K2">
        <v>0.2</v>
      </c>
      <c r="L2">
        <v>78</v>
      </c>
      <c r="N2" t="s">
        <v>1</v>
      </c>
      <c r="O2" t="s">
        <v>15</v>
      </c>
    </row>
    <row r="3" spans="1:15" x14ac:dyDescent="0.2">
      <c r="F3" s="1"/>
      <c r="G3" s="1"/>
      <c r="H3" s="1"/>
      <c r="N3" t="s">
        <v>19</v>
      </c>
    </row>
    <row r="4" spans="1:15" x14ac:dyDescent="0.2">
      <c r="D4">
        <v>3258</v>
      </c>
      <c r="E4" t="s">
        <v>0</v>
      </c>
      <c r="F4" s="1">
        <f>CONVERT(D4,"ft","m")</f>
        <v>993.03840000000002</v>
      </c>
      <c r="G4" s="1" t="s">
        <v>0</v>
      </c>
      <c r="H4">
        <v>5</v>
      </c>
      <c r="I4" s="1">
        <f>CONVERT(L4,"cal","J")*0.01</f>
        <v>5.4428400000000003</v>
      </c>
      <c r="J4">
        <f>0.02*I4</f>
        <v>0.1088568</v>
      </c>
      <c r="K4">
        <v>0.2</v>
      </c>
      <c r="L4">
        <v>130</v>
      </c>
      <c r="N4" t="s">
        <v>1</v>
      </c>
      <c r="O4" t="s">
        <v>14</v>
      </c>
    </row>
    <row r="5" spans="1:15" x14ac:dyDescent="0.2">
      <c r="F5" s="1"/>
      <c r="G5" s="1"/>
      <c r="H5" s="1"/>
    </row>
    <row r="6" spans="1:15" x14ac:dyDescent="0.2">
      <c r="F6" s="1"/>
      <c r="G6" s="1"/>
      <c r="H6" s="1"/>
    </row>
    <row r="7" spans="1:15" x14ac:dyDescent="0.2">
      <c r="F7" s="1"/>
      <c r="G7" s="1"/>
      <c r="H7" s="1"/>
    </row>
    <row r="9" spans="1:15" x14ac:dyDescent="0.2">
      <c r="F9" s="1"/>
      <c r="G9" s="1"/>
      <c r="H9" s="1"/>
    </row>
    <row r="10" spans="1:15" x14ac:dyDescent="0.2">
      <c r="F10" s="1"/>
      <c r="H10" s="1"/>
    </row>
    <row r="11" spans="1:15" x14ac:dyDescent="0.2">
      <c r="F11" s="1"/>
      <c r="H11" s="1"/>
    </row>
    <row r="12" spans="1:15" x14ac:dyDescent="0.2">
      <c r="F12" s="1"/>
      <c r="H12" s="1"/>
    </row>
    <row r="13" spans="1:15" x14ac:dyDescent="0.2">
      <c r="F13" s="1"/>
      <c r="H13" s="1"/>
    </row>
    <row r="14" spans="1:15" x14ac:dyDescent="0.2">
      <c r="F14" s="1"/>
      <c r="H14" s="1"/>
    </row>
    <row r="15" spans="1:15" x14ac:dyDescent="0.2">
      <c r="F15" s="1"/>
      <c r="H15" s="1"/>
    </row>
    <row r="16" spans="1:15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2021-05-20T09:59:00Z</dcterms:modified>
  <cp:category/>
  <cp:contentStatus/>
</cp:coreProperties>
</file>