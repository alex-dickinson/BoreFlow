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newton_mulgrave/raw_data/"/>
    </mc:Choice>
  </mc:AlternateContent>
  <xr:revisionPtr revIDLastSave="0" documentId="13_ncr:1_{532DAAA7-6854-7547-82BD-9D05A9D44945}" xr6:coauthVersionLast="46" xr6:coauthVersionMax="46" xr10:uidLastSave="{00000000-0000-0000-0000-000000000000}"/>
  <bookViews>
    <workbookView xWindow="3820" yWindow="408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H3" i="1"/>
  <c r="H4" i="1"/>
  <c r="H2" i="1"/>
  <c r="G2" i="1"/>
  <c r="G3" i="1"/>
  <c r="G4" i="1"/>
  <c r="F3" i="1"/>
  <c r="F4" i="1"/>
  <c r="F2" i="1"/>
</calcChain>
</file>

<file path=xl/sharedStrings.xml><?xml version="1.0" encoding="utf-8"?>
<sst xmlns="http://schemas.openxmlformats.org/spreadsheetml/2006/main" count="33" uniqueCount="21">
  <si>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</si>
  <si>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</si>
  <si>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</si>
  <si>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</si>
  <si>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</si>
  <si>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</si>
  <si>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</si>
  <si>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</si>
  <si>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</si>
  <si>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</si>
  <si>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</si>
  <si>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</si>
  <si>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</si>
  <si>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</si>
  <si>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n</t>
  </si>
  <si>
    <t>unstated</t>
  </si>
  <si>
    <t>Type: DST. Source: /Users/alex/Documents/newcastle_postdoc/nelep_heat_flow_project/nelep_heat_flow_data/boreholes/standardised_borehole_records/individual_boreholes_compilation/newton_mulgrave/drilling_reports/ogl_archives/01 - Exploration Wells_NEWTON MULGRAVE 1_NEWTON MULGRAVE 1_Petroleum Engineering Completion Report.pdf pg. 21of33</t>
  </si>
  <si>
    <t>Last depth differs from those given in Burley1984 pg43of161</t>
  </si>
  <si>
    <t>Deepest DST tests range 5630 ft to 5680 ft with bottom recorder at 5643 ft. See page 11of 64 in "/Users/alex/Documents/newcastle_postdoc/nelep_heat_flow_project/nelep_heat_flow_data/boreholes/standardised_borehole_records/individual_boreholes_compilation/newton_mulgrave/drilling_reports/ogl_archives/01 - Exploration Wells_NEWTON MULGRAVE 1_NEWTON MULGRAVE 1_Petroleum Engineering File.pdf"</t>
  </si>
  <si>
    <t>Second DST tests range 4793 ft to 4860 ft with bottom recorder at 4808 ft. See page 10of 64 in "/Users/alex/Documents/newcastle_postdoc/nelep_heat_flow_project/nelep_heat_flow_data/boreholes/standardised_borehole_records/individual_boreholes_compilation/newton_mulgrave/drilling_reports/ogl_archives/01 - Exploration Wells_NEWTON MULGRAVE 1_NEWTON MULGRAVE 1_Petroleum Engineering File.pdf"</t>
  </si>
  <si>
    <t>Shallowest DST tests range 4439 ft to 4495 ft with bottom recorder at 4453 ft. See page 9of 64 in "/Users/alex/Documents/newcastle_postdoc/nelep_heat_flow_project/nelep_heat_flow_data/boreholes/standardised_borehole_records/individual_boreholes_compilation/newton_mulgrave/drilling_reports/ogl_archives/01 - Exploration Wells_NEWTON MULGRAVE 1_NEWTON MULGRAVE 1_Petroleum Engineering File.pdf"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</si>
</sst>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L13" sqref="L13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A2">
        <v>1965</v>
      </c>
      <c r="B2">
        <v>8</v>
      </c>
      <c r="C2">
        <v>25</v>
      </c>
      <c r="D2">
        <v>4453</v>
      </c>
      <c r="E2" t="s">
        <v>15</v>
      </c>
      <c r="F2" s="1">
        <f>CONVERT(D2,"ft","m")</f>
        <v>1357.2744</v>
      </c>
      <c r="G2" s="1" t="e">
        <f>CONVERT(E2,"ft","m")</f>
        <v>#VALUE!</v>
      </c>
      <c r="H2">
        <f>CONVERT(J2,"F","C")</f>
        <v>59.444444444444443</v>
      </c>
      <c r="I2" t="e">
        <f>CONVERT(K2,"F","C")</f>
        <v>#VALUE!</v>
      </c>
      <c r="J2">
        <v>139</v>
      </c>
      <c r="K2" t="s">
        <v>15</v>
      </c>
      <c r="L2" t="s">
        <v>13</v>
      </c>
      <c r="M2" t="s">
        <v>16</v>
      </c>
    </row>
    <row r="3" spans="1:13" x14ac:dyDescent="0.2">
      <c r="A3">
        <v>1965</v>
      </c>
      <c r="B3">
        <v>8</v>
      </c>
      <c r="C3">
        <v>27</v>
      </c>
      <c r="D3">
        <v>4808</v>
      </c>
      <c r="E3" t="s">
        <v>15</v>
      </c>
      <c r="F3" s="1">
        <f t="shared" ref="F3:G4" si="0">CONVERT(D3,"ft","m")</f>
        <v>1465.4784</v>
      </c>
      <c r="G3" s="1" t="e">
        <f t="shared" si="0"/>
        <v>#VALUE!</v>
      </c>
      <c r="H3">
        <f t="shared" ref="H3:I4" si="1">CONVERT(J3,"F","C")</f>
        <v>64.444444444444443</v>
      </c>
      <c r="I3" t="e">
        <f t="shared" si="1"/>
        <v>#VALUE!</v>
      </c>
      <c r="J3">
        <v>148</v>
      </c>
      <c r="K3" t="s">
        <v>15</v>
      </c>
      <c r="L3" t="s">
        <v>13</v>
      </c>
      <c r="M3" t="s">
        <v>16</v>
      </c>
    </row>
    <row r="4" spans="1:13" x14ac:dyDescent="0.2">
      <c r="A4">
        <v>1965</v>
      </c>
      <c r="B4">
        <v>9</v>
      </c>
      <c r="C4">
        <v>1</v>
      </c>
      <c r="D4">
        <v>5643</v>
      </c>
      <c r="E4" t="s">
        <v>15</v>
      </c>
      <c r="F4" s="1">
        <f t="shared" si="0"/>
        <v>1719.9864</v>
      </c>
      <c r="G4" s="1" t="e">
        <f t="shared" si="0"/>
        <v>#VALUE!</v>
      </c>
      <c r="H4">
        <f t="shared" si="1"/>
        <v>71.111111111111114</v>
      </c>
      <c r="I4" t="e">
        <f t="shared" si="1"/>
        <v>#VALUE!</v>
      </c>
      <c r="J4">
        <v>160</v>
      </c>
      <c r="K4" t="s">
        <v>15</v>
      </c>
      <c r="L4" t="s">
        <v>13</v>
      </c>
      <c r="M4" t="s">
        <v>16</v>
      </c>
    </row>
    <row r="5" spans="1:13" x14ac:dyDescent="0.2">
      <c r="F5" s="1"/>
    </row>
    <row r="6" spans="1:13" x14ac:dyDescent="0.2">
      <c r="F6" s="1"/>
      <c r="G6" s="1"/>
    </row>
    <row r="7" spans="1:13" x14ac:dyDescent="0.2">
      <c r="F7" s="1"/>
      <c r="G7" s="1"/>
      <c r="H7" t="s">
        <v>17</v>
      </c>
      <c r="L7" t="s">
        <v>14</v>
      </c>
    </row>
    <row r="8" spans="1:13" x14ac:dyDescent="0.2">
      <c r="F8" s="1"/>
      <c r="G8" s="1"/>
    </row>
    <row r="9" spans="1:13" x14ac:dyDescent="0.2">
      <c r="D9" t="s">
        <v>20</v>
      </c>
      <c r="F9" s="1"/>
      <c r="G9" s="1"/>
      <c r="L9" t="s">
        <v>14</v>
      </c>
      <c r="M9" s="2"/>
    </row>
    <row r="10" spans="1:13" x14ac:dyDescent="0.2">
      <c r="D10" t="s">
        <v>19</v>
      </c>
      <c r="F10" s="1"/>
      <c r="G10" s="1"/>
      <c r="L10" t="s">
        <v>14</v>
      </c>
      <c r="M10" s="2"/>
    </row>
    <row r="11" spans="1:13" x14ac:dyDescent="0.2">
      <c r="D11" t="s">
        <v>18</v>
      </c>
      <c r="F11" s="1"/>
      <c r="G11" s="1"/>
      <c r="L11" t="s">
        <v>14</v>
      </c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2021-01-19T10:34:40Z</dcterms:modified>
  <cp:category/>
  <cp:contentStatus/>
</cp:coreProperties>
</file>