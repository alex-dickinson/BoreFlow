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kirkleatham_no1/raw_data/"/>
    </mc:Choice>
  </mc:AlternateContent>
  <xr:revisionPtr revIDLastSave="0" documentId="13_ncr:1_{814429FA-9C8C-254F-BFEC-4E5A866C8044}" xr6:coauthVersionLast="46" xr6:coauthVersionMax="46" xr10:uidLastSave="{00000000-0000-0000-0000-000000000000}"/>
  <bookViews>
    <workbookView xWindow="38400" yWindow="500" windowWidth="38400" windowHeight="23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8" i="1"/>
  <c r="G10" i="1"/>
  <c r="G11" i="1"/>
  <c r="G12" i="1"/>
  <c r="G13" i="1"/>
  <c r="G14" i="1"/>
  <c r="G2" i="1"/>
  <c r="I8" i="1"/>
  <c r="I10" i="1"/>
  <c r="I11" i="1"/>
  <c r="I12" i="1"/>
  <c r="I13" i="1"/>
  <c r="I14" i="1"/>
  <c r="I3" i="1"/>
  <c r="I4" i="1"/>
  <c r="I5" i="1"/>
  <c r="I6" i="1"/>
  <c r="I2" i="1"/>
  <c r="H3" i="1"/>
  <c r="H4" i="1"/>
  <c r="H5" i="1"/>
  <c r="H6" i="1"/>
  <c r="H8" i="1"/>
  <c r="H10" i="1"/>
  <c r="H11" i="1"/>
  <c r="H12" i="1"/>
  <c r="H13" i="1"/>
  <c r="H14" i="1"/>
  <c r="H2" i="1"/>
  <c r="F3" i="1"/>
  <c r="F4" i="1"/>
  <c r="F5" i="1"/>
  <c r="F6" i="1"/>
  <c r="F8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<sst xmlns="http://schemas.openxmlformats.org/spreadsheetml/2006/main" count="48" uniqueCount="22">
  <si>
    <t>unstated</t>
  </si>
  <si>
    <t>y</t>
  </si>
  <si>
    <t>depth(ft)</t>
  </si>
  <si>
    <t>depth_error(ft)</t>
  </si>
  <si>
    <t>depth(m)</t>
  </si>
  <si>
    <t>depth_error(m)</t>
  </si>
  <si>
    <t>year_cond_measurement</t>
  </si>
  <si>
    <t>month_cond_measurement</t>
  </si>
  <si>
    <t>day_cond_measurement</t>
  </si>
  <si>
    <t>conductivity(Wm-1K-1)</t>
  </si>
  <si>
    <t>conductivity(other_unit)</t>
  </si>
  <si>
    <t>use?</t>
  </si>
  <si>
    <t>notes</t>
  </si>
  <si>
    <t>conductivity_source_error(Wm-1K-1)</t>
  </si>
  <si>
    <t>conductivity_assigned_error(Wm-1K-1)</t>
  </si>
  <si>
    <t>conductivity_source_error(other_unit)</t>
  </si>
  <si>
    <t>n</t>
  </si>
  <si>
    <t xml:space="preserve"> Lith: Permian hard red marl</t>
  </si>
  <si>
    <t xml:space="preserve"> Lith: Permian light grey anhydrite</t>
  </si>
  <si>
    <t xml:space="preserve"> Lith: Permian (Magnesian Limestone): dolomitic anhydrite</t>
  </si>
  <si>
    <t xml:space="preserve"> Lith: Permian (Magnesian Limestone): Magnesian Limestone</t>
  </si>
  <si>
    <t>Source: Bullard1951. Conductivity given in cal x10^-4 / (cm degree C sec). Lith: Permian hard red marl. Uncertainties - pg. states that 4of17 states that measurement uncertainty 2% or less. Pg9of17 states that error due to changes with depth is 7% or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</si>
</sst>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5" max="5" width="13.1640625" customWidth="1"/>
    <col min="7" max="7" width="13.1640625" customWidth="1"/>
    <col min="8" max="8" width="19.83203125" customWidth="1"/>
    <col min="9" max="10" width="24.83203125" customWidth="1"/>
    <col min="11" max="11" width="20.5" customWidth="1"/>
    <col min="12" max="12" width="24.83203125" customWidth="1"/>
  </cols>
  <sheetData>
    <row r="1" spans="1:14" s="2" customFormat="1" x14ac:dyDescent="0.2">
      <c r="A1" s="2" t="s">
        <v>6</v>
      </c>
      <c r="B1" s="2" t="s">
        <v>7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9</v>
      </c>
      <c r="I1" s="2" t="s">
        <v>13</v>
      </c>
      <c r="J1" s="2" t="s">
        <v>14</v>
      </c>
      <c r="K1" s="2" t="s">
        <v>10</v>
      </c>
      <c r="L1" s="2" t="s">
        <v>15</v>
      </c>
      <c r="M1" s="2" t="s">
        <v>11</v>
      </c>
      <c r="N1" s="2" t="s">
        <v>12</v>
      </c>
    </row>
    <row r="2" spans="1:14" x14ac:dyDescent="0.2">
      <c r="D2">
        <v>2120</v>
      </c>
      <c r="E2" t="s">
        <v>0</v>
      </c>
      <c r="F2" s="1">
        <f>CONVERT(D2,"ft","m")</f>
        <v>646.17600000000004</v>
      </c>
      <c r="G2" s="1" t="e">
        <f>CONVERT(E2,"ft","m")</f>
        <v>#VALUE!</v>
      </c>
      <c r="H2" s="1">
        <f>CONVERT(K2,"cal","J")*0.01</f>
        <v>2.7632880000000002</v>
      </c>
      <c r="I2">
        <f>0.02*H2</f>
        <v>5.5265760000000004E-2</v>
      </c>
      <c r="K2">
        <v>66</v>
      </c>
      <c r="M2" t="s">
        <v>1</v>
      </c>
      <c r="N2" t="s">
        <v>21</v>
      </c>
    </row>
    <row r="3" spans="1:14" x14ac:dyDescent="0.2">
      <c r="D3">
        <v>2140</v>
      </c>
      <c r="E3" t="s">
        <v>0</v>
      </c>
      <c r="F3" s="1">
        <f t="shared" ref="F3:F15" si="0">CONVERT(D3,"ft","m")</f>
        <v>652.27200000000005</v>
      </c>
      <c r="G3" s="1" t="e">
        <f t="shared" ref="G3:G14" si="1">CONVERT(E3,"ft","m")</f>
        <v>#VALUE!</v>
      </c>
      <c r="H3" s="1">
        <f t="shared" ref="H3:H15" si="2">CONVERT(K3,"cal","J")*0.01</f>
        <v>1.758456</v>
      </c>
      <c r="I3">
        <f t="shared" ref="I3:I14" si="3">0.02*H3</f>
        <v>3.5169119999999998E-2</v>
      </c>
      <c r="K3">
        <v>42</v>
      </c>
      <c r="M3" t="s">
        <v>1</v>
      </c>
      <c r="N3" t="s">
        <v>17</v>
      </c>
    </row>
    <row r="4" spans="1:14" x14ac:dyDescent="0.2">
      <c r="D4">
        <v>2160</v>
      </c>
      <c r="E4" t="s">
        <v>0</v>
      </c>
      <c r="F4" s="1">
        <f t="shared" si="0"/>
        <v>658.36800000000005</v>
      </c>
      <c r="G4" s="1" t="e">
        <f t="shared" si="1"/>
        <v>#VALUE!</v>
      </c>
      <c r="H4" s="1">
        <f t="shared" si="2"/>
        <v>2.6795520000000002</v>
      </c>
      <c r="I4">
        <f t="shared" si="3"/>
        <v>5.3591040000000006E-2</v>
      </c>
      <c r="K4">
        <v>64</v>
      </c>
      <c r="M4" t="s">
        <v>1</v>
      </c>
      <c r="N4" t="s">
        <v>17</v>
      </c>
    </row>
    <row r="5" spans="1:14" x14ac:dyDescent="0.2">
      <c r="D5">
        <v>2200</v>
      </c>
      <c r="E5" t="s">
        <v>0</v>
      </c>
      <c r="F5" s="1">
        <f t="shared" si="0"/>
        <v>670.56</v>
      </c>
      <c r="G5" s="1" t="e">
        <f t="shared" si="1"/>
        <v>#VALUE!</v>
      </c>
      <c r="H5" s="1">
        <f t="shared" si="2"/>
        <v>2.7632880000000002</v>
      </c>
      <c r="I5">
        <f t="shared" si="3"/>
        <v>5.5265760000000004E-2</v>
      </c>
      <c r="K5">
        <v>66</v>
      </c>
      <c r="M5" t="s">
        <v>1</v>
      </c>
      <c r="N5" t="s">
        <v>17</v>
      </c>
    </row>
    <row r="6" spans="1:14" x14ac:dyDescent="0.2">
      <c r="D6" t="s">
        <v>0</v>
      </c>
      <c r="E6" t="s">
        <v>0</v>
      </c>
      <c r="F6" s="1" t="e">
        <f t="shared" si="0"/>
        <v>#VALUE!</v>
      </c>
      <c r="G6" s="1" t="e">
        <f t="shared" si="1"/>
        <v>#VALUE!</v>
      </c>
      <c r="H6" s="1">
        <f t="shared" si="2"/>
        <v>1.5072479999999999</v>
      </c>
      <c r="I6">
        <f t="shared" si="3"/>
        <v>3.0144959999999998E-2</v>
      </c>
      <c r="K6">
        <v>36</v>
      </c>
      <c r="M6" t="s">
        <v>16</v>
      </c>
      <c r="N6" t="s">
        <v>17</v>
      </c>
    </row>
    <row r="7" spans="1:14" x14ac:dyDescent="0.2">
      <c r="F7" s="1"/>
      <c r="G7" s="1"/>
      <c r="H7" s="1"/>
    </row>
    <row r="8" spans="1:14" x14ac:dyDescent="0.2">
      <c r="D8">
        <v>2190</v>
      </c>
      <c r="E8" t="s">
        <v>0</v>
      </c>
      <c r="F8" s="1">
        <f t="shared" si="0"/>
        <v>667.51199999999994</v>
      </c>
      <c r="G8" s="1" t="e">
        <f t="shared" si="1"/>
        <v>#VALUE!</v>
      </c>
      <c r="H8" s="1">
        <f t="shared" si="2"/>
        <v>5.9033879999999996</v>
      </c>
      <c r="I8">
        <f t="shared" si="3"/>
        <v>0.11806775999999999</v>
      </c>
      <c r="K8">
        <v>141</v>
      </c>
      <c r="M8" t="s">
        <v>1</v>
      </c>
      <c r="N8" t="s">
        <v>18</v>
      </c>
    </row>
    <row r="9" spans="1:14" x14ac:dyDescent="0.2">
      <c r="F9" s="1"/>
      <c r="G9" s="1"/>
      <c r="H9" s="1"/>
    </row>
    <row r="10" spans="1:14" x14ac:dyDescent="0.2">
      <c r="D10">
        <v>2760</v>
      </c>
      <c r="E10" t="s">
        <v>0</v>
      </c>
      <c r="F10" s="1">
        <f t="shared" si="0"/>
        <v>841.24800000000005</v>
      </c>
      <c r="G10" s="1" t="e">
        <f t="shared" si="1"/>
        <v>#VALUE!</v>
      </c>
      <c r="H10" s="1">
        <f t="shared" si="2"/>
        <v>5.5684439999999995</v>
      </c>
      <c r="I10">
        <f t="shared" si="3"/>
        <v>0.11136887999999999</v>
      </c>
      <c r="K10">
        <v>133</v>
      </c>
      <c r="M10" t="s">
        <v>1</v>
      </c>
      <c r="N10" t="s">
        <v>19</v>
      </c>
    </row>
    <row r="11" spans="1:14" x14ac:dyDescent="0.2">
      <c r="D11">
        <v>2700</v>
      </c>
      <c r="E11" t="s">
        <v>0</v>
      </c>
      <c r="F11" s="1">
        <f t="shared" si="0"/>
        <v>822.96</v>
      </c>
      <c r="G11" s="1" t="e">
        <f t="shared" si="1"/>
        <v>#VALUE!</v>
      </c>
      <c r="H11" s="1">
        <f t="shared" si="2"/>
        <v>5.6521799999999995</v>
      </c>
      <c r="I11">
        <f t="shared" si="3"/>
        <v>0.11304359999999999</v>
      </c>
      <c r="K11">
        <v>135</v>
      </c>
      <c r="M11" t="s">
        <v>1</v>
      </c>
      <c r="N11" t="s">
        <v>19</v>
      </c>
    </row>
    <row r="12" spans="1:14" x14ac:dyDescent="0.2">
      <c r="D12">
        <v>2412</v>
      </c>
      <c r="E12" t="s">
        <v>0</v>
      </c>
      <c r="F12" s="1">
        <f t="shared" si="0"/>
        <v>735.17759999999998</v>
      </c>
      <c r="G12" s="1" t="e">
        <f t="shared" si="1"/>
        <v>#VALUE!</v>
      </c>
      <c r="H12" s="1">
        <f t="shared" si="2"/>
        <v>5.6521799999999995</v>
      </c>
      <c r="I12">
        <f t="shared" si="3"/>
        <v>0.11304359999999999</v>
      </c>
      <c r="K12">
        <v>135</v>
      </c>
      <c r="M12" t="s">
        <v>1</v>
      </c>
      <c r="N12" t="s">
        <v>19</v>
      </c>
    </row>
    <row r="13" spans="1:14" x14ac:dyDescent="0.2">
      <c r="D13">
        <v>2550</v>
      </c>
      <c r="E13" t="s">
        <v>0</v>
      </c>
      <c r="F13" s="1">
        <f t="shared" si="0"/>
        <v>777.24</v>
      </c>
      <c r="G13" s="1" t="e">
        <f t="shared" si="1"/>
        <v>#VALUE!</v>
      </c>
      <c r="H13" s="1">
        <f t="shared" si="2"/>
        <v>4.0611959999999998</v>
      </c>
      <c r="I13">
        <f t="shared" si="3"/>
        <v>8.1223919999999991E-2</v>
      </c>
      <c r="K13">
        <v>97</v>
      </c>
      <c r="M13" t="s">
        <v>1</v>
      </c>
      <c r="N13" t="s">
        <v>20</v>
      </c>
    </row>
    <row r="14" spans="1:14" x14ac:dyDescent="0.2">
      <c r="D14">
        <v>2610</v>
      </c>
      <c r="E14" t="s">
        <v>0</v>
      </c>
      <c r="F14" s="1">
        <f t="shared" si="0"/>
        <v>795.52800000000002</v>
      </c>
      <c r="G14" s="1" t="e">
        <f t="shared" si="1"/>
        <v>#VALUE!</v>
      </c>
      <c r="H14" s="1">
        <f t="shared" si="2"/>
        <v>4.8985560000000001</v>
      </c>
      <c r="I14">
        <f t="shared" si="3"/>
        <v>9.7971120000000009E-2</v>
      </c>
      <c r="K14">
        <v>117</v>
      </c>
      <c r="M14" t="s">
        <v>1</v>
      </c>
      <c r="N14" t="s">
        <v>20</v>
      </c>
    </row>
    <row r="15" spans="1:14" x14ac:dyDescent="0.2">
      <c r="F15" s="1"/>
      <c r="H15" s="1"/>
    </row>
    <row r="16" spans="1:14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2021-01-25T11:20:12Z</dcterms:modified>
  <cp:category/>
  <cp:contentStatus/>
</cp:coreProperties>
</file>