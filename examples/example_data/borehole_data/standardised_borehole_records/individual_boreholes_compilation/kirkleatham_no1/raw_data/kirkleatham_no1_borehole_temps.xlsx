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1"/>
  <workbookPr defaultThemeVersion="166925"/>
  <mc:AlternateContent xmlns:mc="http://schemas.openxmlformats.org/markup-compatibility/2006">
    <mc:Choice Requires="x15">
      <x15ac:absPath xmlns:x15ac="http://schemas.microsoft.com/office/spreadsheetml/2010/11/ac" url="/Users/alex/Documents/newcastle_postdoc/nelep_heat_flow_project/nelep_heat_flow_data/boreholes/standardised_borehole_records/individual_boreholes_compilation/kirkleatham_no1/raw_data/"/>
    </mc:Choice>
  </mc:AlternateContent>
  <xr:revisionPtr revIDLastSave="0" documentId="13_ncr:1_{9E3736DC-AD06-0547-AE3E-716BBB9E9521}" xr6:coauthVersionLast="46" xr6:coauthVersionMax="46" xr10:uidLastSave="{00000000-0000-0000-0000-000000000000}"/>
  <bookViews>
    <workbookView xWindow="240" yWindow="500" windowWidth="24920" windowHeight="1368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5" i="1" l="1"/>
  <c r="H26" i="1"/>
  <c r="H27" i="1"/>
  <c r="H28" i="1"/>
  <c r="H29" i="1"/>
  <c r="H30" i="1"/>
  <c r="H24" i="1"/>
  <c r="F25" i="1"/>
  <c r="G25" i="1"/>
  <c r="F26" i="1"/>
  <c r="G26" i="1"/>
  <c r="F27" i="1"/>
  <c r="G27" i="1"/>
  <c r="F28" i="1"/>
  <c r="G28" i="1"/>
  <c r="F29" i="1"/>
  <c r="G29" i="1"/>
  <c r="F30" i="1"/>
  <c r="G30" i="1"/>
  <c r="G24" i="1"/>
  <c r="F24" i="1"/>
  <c r="G2" i="1"/>
  <c r="G3" i="1"/>
  <c r="G4" i="1"/>
  <c r="G5" i="1"/>
  <c r="G6" i="1"/>
  <c r="G7" i="1"/>
  <c r="G8" i="1"/>
  <c r="G9" i="1"/>
  <c r="G10" i="1"/>
  <c r="G11" i="1"/>
  <c r="G12" i="1"/>
  <c r="G13" i="1"/>
  <c r="G14" i="1"/>
  <c r="G15" i="1"/>
  <c r="G16" i="1"/>
  <c r="G17" i="1"/>
  <c r="G18" i="1"/>
  <c r="G19" i="1"/>
  <c r="G20" i="1"/>
  <c r="G21" i="1"/>
  <c r="G22"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<sst xmlns="http://schemas.openxmlformats.org/spreadsheetml/2006/main" count="125" uniqueCount="41">
  <si>
    <t>Year</t>
  </si>
  <si>
    <t>Month</t>
  </si>
  <si>
    <t>Day</t>
  </si>
  <si>
    <t>Depth(ft)</t>
  </si>
  <si>
    <t>Depth_error(ft)</t>
  </si>
  <si>
    <t>Depth(m)</t>
  </si>
  <si>
    <t>Depth_error(m)</t>
  </si>
  <si>
    <t>Temperature(degrees_C)</t>
  </si>
  <si>
    <t>Temperature_error(degrees_C)</t>
  </si>
  <si>
    <t>Notes</t>
  </si>
  <si>
    <t>unstated</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</si>
  <si>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1948</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</si>
  <si>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1949</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</si>
  <si>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1950</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</si>
  <si>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1951</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</si>
  <si>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1952</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</si>
  <si>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1953</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</si>
  <si>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1954</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</si>
  <si>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1955</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</si>
  <si>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1956</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</si>
  <si>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1957</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</si>
  <si>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1958</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</si>
  <si>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1959</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</si>
  <si>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1960</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</si>
  <si>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1961</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</si>
  <si>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1962</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</si>
  <si>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1963</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</si>
  <si>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1964</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</si>
  <si>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1965</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</si>
  <si>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1966</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</si>
  <si>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1967</t>
  </si>
  <si>
    <t>Source: Bullard and Niblett (1951), pg. 229. Bottom of hole at 3736 ft. Mercury maximum thermometers. Temperature error based on maximum difference between repeated sets of measurements (first set were taken in July 1946 - measurements are not reported - pg. 224). Measurements given here were made in Feb 1968</t>
  </si>
  <si>
    <t>Temperature(degrees_F)</t>
  </si>
  <si>
    <t>Temperature_error(degrees_F)</t>
  </si>
  <si>
    <t>Use?</t>
  </si>
  <si>
    <t>y</t>
  </si>
  <si>
    <t>Type: DST? Source: "01 - Exploration Wells_KIRKLEATHAM 1_KIRKLEATHAM 1_Petroleum Engineering File.pdf", pg13of40</t>
  </si>
  <si>
    <t>Type: DST? Noted as suspect in report, but reason not given. Source: "01 - Exploration Wells_KIRKLEATHAM 1_KIRKLEATHAM 1_Petroleum Engineering File.pdf", pg6of40</t>
  </si>
  <si>
    <t>Type: DST? Source: "01 - Exploration Wells_KIRKLEATHAM 1_KIRKLEATHAM 1_Petroleum Engineering File.pdf", pg6of40</t>
  </si>
  <si>
    <t>Type: BHT/DST? Source: "01 - Exploration Wells_KIRKLEATHAM 1_KIRKLEATHAM 1_Petroleum Engineering File.pdf", pg2of40</t>
  </si>
  <si>
    <t>Type: BHT/DST? Source: "01 - Exploration Wells_KIRKLEATHAM 1_KIRKLEATHAM 1_Petroleum Engineering File.pdf", pg1of40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</si>
</sst>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abSelected="1" workbookViewId="0">
      <selection activeCell="E2" sqref="E2"/>
    </sheetView>
  </sheetViews>
  <sheetFormatPr baseColWidth="10" defaultColWidth="8.83203125" defaultRowHeight="15" x14ac:dyDescent="0.2"/>
  <cols>
    <col min="5" max="5" width="16.33203125" customWidth="1"/>
    <col min="7" max="7" width="14" customWidth="1"/>
    <col min="8" max="8" width="24.5" customWidth="1"/>
    <col min="9" max="9" width="28.5" customWidth="1"/>
    <col min="10" max="10" width="19.6640625" customWidth="1"/>
    <col min="11" max="11" width="24.5" customWidth="1"/>
  </cols>
  <sheetData>
    <row r="1" spans="1:13" x14ac:dyDescent="0.2">
      <c r="A1" t="s">
        <v>0</v>
      </c>
      <c r="B1" t="s">
        <v>1</v>
      </c>
      <c r="C1" t="s">
        <v>2</v>
      </c>
      <c r="D1" t="s">
        <v>3</v>
      </c>
      <c r="E1" t="s">
        <v>4</v>
      </c>
      <c r="F1" t="s">
        <v>5</v>
      </c>
      <c r="G1" t="s">
        <v>6</v>
      </c>
      <c r="H1" t="s">
        <v>7</v>
      </c>
      <c r="I1" t="s">
        <v>8</v>
      </c>
      <c r="J1" t="s">
        <v>32</v>
      </c>
      <c r="K1" t="s">
        <v>33</v>
      </c>
      <c r="L1" t="s">
        <v>34</v>
      </c>
      <c r="M1" t="s">
        <v>9</v>
      </c>
    </row>
    <row r="2" spans="1:13" x14ac:dyDescent="0.2">
      <c r="A2">
        <v>1948</v>
      </c>
      <c r="B2">
        <v>2</v>
      </c>
      <c r="C2" t="s">
        <v>10</v>
      </c>
      <c r="D2">
        <v>234</v>
      </c>
      <c r="E2" t="s">
        <v>10</v>
      </c>
      <c r="F2">
        <f>CONVERT(D2,"ft","m")</f>
        <v>71.3232</v>
      </c>
      <c r="G2" t="e">
        <f>CONVERT(E2,"ft","m")</f>
        <v>#VALUE!</v>
      </c>
      <c r="H2" s="1">
        <v>11.6</v>
      </c>
      <c r="I2">
        <v>0.1</v>
      </c>
      <c r="L2" t="s">
        <v>35</v>
      </c>
      <c r="M2" t="s">
        <v>11</v>
      </c>
    </row>
    <row r="3" spans="1:13" x14ac:dyDescent="0.2">
      <c r="A3">
        <v>1948</v>
      </c>
      <c r="B3">
        <v>2</v>
      </c>
      <c r="C3" t="s">
        <v>10</v>
      </c>
      <c r="D3">
        <v>313</v>
      </c>
      <c r="E3" t="s">
        <v>10</v>
      </c>
      <c r="F3">
        <f t="shared" ref="F3:G22" si="0">CONVERT(D3,"ft","m")</f>
        <v>95.4024</v>
      </c>
      <c r="G3" t="e">
        <f t="shared" si="0"/>
        <v>#VALUE!</v>
      </c>
      <c r="H3" s="1">
        <v>12.5</v>
      </c>
      <c r="I3">
        <v>0.1</v>
      </c>
      <c r="L3" t="s">
        <v>35</v>
      </c>
      <c r="M3" t="s">
        <v>12</v>
      </c>
    </row>
    <row r="4" spans="1:13" x14ac:dyDescent="0.2">
      <c r="A4">
        <v>1948</v>
      </c>
      <c r="B4">
        <v>2</v>
      </c>
      <c r="C4" t="s">
        <v>10</v>
      </c>
      <c r="D4">
        <v>391</v>
      </c>
      <c r="E4" t="s">
        <v>10</v>
      </c>
      <c r="F4">
        <f t="shared" si="0"/>
        <v>119.1768</v>
      </c>
      <c r="G4" t="e">
        <f t="shared" si="0"/>
        <v>#VALUE!</v>
      </c>
      <c r="H4" s="1">
        <v>13.6</v>
      </c>
      <c r="I4">
        <v>0.1</v>
      </c>
      <c r="L4" t="s">
        <v>35</v>
      </c>
      <c r="M4" t="s">
        <v>13</v>
      </c>
    </row>
    <row r="5" spans="1:13" x14ac:dyDescent="0.2">
      <c r="A5">
        <v>1948</v>
      </c>
      <c r="B5">
        <v>2</v>
      </c>
      <c r="C5" t="s">
        <v>10</v>
      </c>
      <c r="D5">
        <v>469</v>
      </c>
      <c r="E5" t="s">
        <v>10</v>
      </c>
      <c r="F5">
        <f t="shared" si="0"/>
        <v>142.9512</v>
      </c>
      <c r="G5" t="e">
        <f t="shared" si="0"/>
        <v>#VALUE!</v>
      </c>
      <c r="H5" s="1">
        <v>14.7</v>
      </c>
      <c r="I5">
        <v>0.1</v>
      </c>
      <c r="L5" t="s">
        <v>35</v>
      </c>
      <c r="M5" t="s">
        <v>14</v>
      </c>
    </row>
    <row r="6" spans="1:13" x14ac:dyDescent="0.2">
      <c r="A6">
        <v>1948</v>
      </c>
      <c r="B6">
        <v>2</v>
      </c>
      <c r="C6" t="s">
        <v>10</v>
      </c>
      <c r="D6">
        <v>626</v>
      </c>
      <c r="E6" t="s">
        <v>10</v>
      </c>
      <c r="F6">
        <f t="shared" si="0"/>
        <v>190.8048</v>
      </c>
      <c r="G6" t="e">
        <f t="shared" si="0"/>
        <v>#VALUE!</v>
      </c>
      <c r="H6" s="1">
        <v>16.100000000000001</v>
      </c>
      <c r="I6">
        <v>0.1</v>
      </c>
      <c r="L6" t="s">
        <v>35</v>
      </c>
      <c r="M6" t="s">
        <v>15</v>
      </c>
    </row>
    <row r="7" spans="1:13" x14ac:dyDescent="0.2">
      <c r="A7">
        <v>1948</v>
      </c>
      <c r="B7">
        <v>2</v>
      </c>
      <c r="C7" t="s">
        <v>10</v>
      </c>
      <c r="D7">
        <v>782</v>
      </c>
      <c r="E7" t="s">
        <v>10</v>
      </c>
      <c r="F7">
        <f t="shared" si="0"/>
        <v>238.3536</v>
      </c>
      <c r="G7" t="e">
        <f t="shared" si="0"/>
        <v>#VALUE!</v>
      </c>
      <c r="H7" s="1">
        <v>17.399999999999999</v>
      </c>
      <c r="I7">
        <v>0.1</v>
      </c>
      <c r="L7" t="s">
        <v>35</v>
      </c>
      <c r="M7" t="s">
        <v>16</v>
      </c>
    </row>
    <row r="8" spans="1:13" x14ac:dyDescent="0.2">
      <c r="A8">
        <v>1948</v>
      </c>
      <c r="B8">
        <v>2</v>
      </c>
      <c r="C8" t="s">
        <v>10</v>
      </c>
      <c r="D8">
        <v>939</v>
      </c>
      <c r="E8" t="s">
        <v>10</v>
      </c>
      <c r="F8">
        <f t="shared" si="0"/>
        <v>286.2072</v>
      </c>
      <c r="G8" t="e">
        <f t="shared" si="0"/>
        <v>#VALUE!</v>
      </c>
      <c r="H8" s="1">
        <v>18.399999999999999</v>
      </c>
      <c r="I8">
        <v>0.1</v>
      </c>
      <c r="L8" t="s">
        <v>35</v>
      </c>
      <c r="M8" t="s">
        <v>17</v>
      </c>
    </row>
    <row r="9" spans="1:13" x14ac:dyDescent="0.2">
      <c r="A9">
        <v>1948</v>
      </c>
      <c r="B9">
        <v>2</v>
      </c>
      <c r="C9" t="s">
        <v>10</v>
      </c>
      <c r="D9">
        <v>1095</v>
      </c>
      <c r="E9" t="s">
        <v>10</v>
      </c>
      <c r="F9">
        <f t="shared" si="0"/>
        <v>333.75599999999997</v>
      </c>
      <c r="G9" t="e">
        <f t="shared" si="0"/>
        <v>#VALUE!</v>
      </c>
      <c r="H9" s="1">
        <v>19.7</v>
      </c>
      <c r="I9">
        <v>0.1</v>
      </c>
      <c r="L9" t="s">
        <v>35</v>
      </c>
      <c r="M9" t="s">
        <v>18</v>
      </c>
    </row>
    <row r="10" spans="1:13" x14ac:dyDescent="0.2">
      <c r="A10">
        <v>1948</v>
      </c>
      <c r="B10">
        <v>2</v>
      </c>
      <c r="C10" t="s">
        <v>10</v>
      </c>
      <c r="D10">
        <v>1251</v>
      </c>
      <c r="E10" t="s">
        <v>10</v>
      </c>
      <c r="F10">
        <f t="shared" si="0"/>
        <v>381.3048</v>
      </c>
      <c r="G10" t="e">
        <f t="shared" si="0"/>
        <v>#VALUE!</v>
      </c>
      <c r="H10" s="1">
        <v>20.6</v>
      </c>
      <c r="I10">
        <v>0.1</v>
      </c>
      <c r="L10" t="s">
        <v>35</v>
      </c>
      <c r="M10" t="s">
        <v>19</v>
      </c>
    </row>
    <row r="11" spans="1:13" x14ac:dyDescent="0.2">
      <c r="A11">
        <v>1948</v>
      </c>
      <c r="B11">
        <v>2</v>
      </c>
      <c r="C11" t="s">
        <v>10</v>
      </c>
      <c r="D11">
        <v>1408</v>
      </c>
      <c r="E11" t="s">
        <v>10</v>
      </c>
      <c r="F11">
        <f t="shared" si="0"/>
        <v>429.15839999999997</v>
      </c>
      <c r="G11" t="e">
        <f t="shared" si="0"/>
        <v>#VALUE!</v>
      </c>
      <c r="H11" s="1">
        <v>21.4</v>
      </c>
      <c r="I11">
        <v>0.1</v>
      </c>
      <c r="L11" t="s">
        <v>35</v>
      </c>
      <c r="M11" t="s">
        <v>20</v>
      </c>
    </row>
    <row r="12" spans="1:13" x14ac:dyDescent="0.2">
      <c r="A12">
        <v>1948</v>
      </c>
      <c r="B12">
        <v>2</v>
      </c>
      <c r="C12" t="s">
        <v>10</v>
      </c>
      <c r="D12">
        <v>1564</v>
      </c>
      <c r="E12" t="s">
        <v>10</v>
      </c>
      <c r="F12">
        <f t="shared" si="0"/>
        <v>476.7072</v>
      </c>
      <c r="G12" t="e">
        <f t="shared" si="0"/>
        <v>#VALUE!</v>
      </c>
      <c r="H12" s="1">
        <v>22.2</v>
      </c>
      <c r="I12">
        <v>0.1</v>
      </c>
      <c r="L12" t="s">
        <v>35</v>
      </c>
      <c r="M12" t="s">
        <v>21</v>
      </c>
    </row>
    <row r="13" spans="1:13" x14ac:dyDescent="0.2">
      <c r="A13">
        <v>1948</v>
      </c>
      <c r="B13">
        <v>2</v>
      </c>
      <c r="C13" t="s">
        <v>10</v>
      </c>
      <c r="D13">
        <v>1720</v>
      </c>
      <c r="E13" t="s">
        <v>10</v>
      </c>
      <c r="F13">
        <f t="shared" si="0"/>
        <v>524.25599999999997</v>
      </c>
      <c r="G13" t="e">
        <f t="shared" si="0"/>
        <v>#VALUE!</v>
      </c>
      <c r="H13" s="1">
        <v>23.2</v>
      </c>
      <c r="I13">
        <v>0.1</v>
      </c>
      <c r="L13" t="s">
        <v>35</v>
      </c>
      <c r="M13" t="s">
        <v>22</v>
      </c>
    </row>
    <row r="14" spans="1:13" x14ac:dyDescent="0.2">
      <c r="A14">
        <v>1948</v>
      </c>
      <c r="B14">
        <v>2</v>
      </c>
      <c r="C14" t="s">
        <v>10</v>
      </c>
      <c r="D14">
        <v>1877</v>
      </c>
      <c r="E14" t="s">
        <v>10</v>
      </c>
      <c r="F14">
        <f t="shared" si="0"/>
        <v>572.1096</v>
      </c>
      <c r="G14" t="e">
        <f t="shared" si="0"/>
        <v>#VALUE!</v>
      </c>
      <c r="H14" s="1">
        <v>24.3</v>
      </c>
      <c r="I14">
        <v>0.1</v>
      </c>
      <c r="L14" t="s">
        <v>35</v>
      </c>
      <c r="M14" t="s">
        <v>23</v>
      </c>
    </row>
    <row r="15" spans="1:13" x14ac:dyDescent="0.2">
      <c r="A15">
        <v>1948</v>
      </c>
      <c r="B15">
        <v>2</v>
      </c>
      <c r="C15" t="s">
        <v>10</v>
      </c>
      <c r="D15">
        <v>2033</v>
      </c>
      <c r="E15" t="s">
        <v>10</v>
      </c>
      <c r="F15">
        <f t="shared" si="0"/>
        <v>619.65840000000003</v>
      </c>
      <c r="G15" t="e">
        <f t="shared" si="0"/>
        <v>#VALUE!</v>
      </c>
      <c r="H15" s="1">
        <v>25.6</v>
      </c>
      <c r="I15">
        <v>0.1</v>
      </c>
      <c r="L15" t="s">
        <v>35</v>
      </c>
      <c r="M15" t="s">
        <v>24</v>
      </c>
    </row>
    <row r="16" spans="1:13" x14ac:dyDescent="0.2">
      <c r="A16">
        <v>1948</v>
      </c>
      <c r="B16">
        <v>2</v>
      </c>
      <c r="C16" t="s">
        <v>10</v>
      </c>
      <c r="D16">
        <v>2190</v>
      </c>
      <c r="E16" t="s">
        <v>10</v>
      </c>
      <c r="F16">
        <f t="shared" si="0"/>
        <v>667.51199999999994</v>
      </c>
      <c r="G16" t="e">
        <f t="shared" si="0"/>
        <v>#VALUE!</v>
      </c>
      <c r="H16" s="1">
        <v>27</v>
      </c>
      <c r="I16">
        <v>0.1</v>
      </c>
      <c r="L16" t="s">
        <v>35</v>
      </c>
      <c r="M16" t="s">
        <v>25</v>
      </c>
    </row>
    <row r="17" spans="1:13" x14ac:dyDescent="0.2">
      <c r="A17">
        <v>1948</v>
      </c>
      <c r="B17">
        <v>2</v>
      </c>
      <c r="C17" t="s">
        <v>10</v>
      </c>
      <c r="D17">
        <v>2346</v>
      </c>
      <c r="E17" t="s">
        <v>10</v>
      </c>
      <c r="F17">
        <f t="shared" si="0"/>
        <v>715.06079999999997</v>
      </c>
      <c r="G17" t="e">
        <f t="shared" si="0"/>
        <v>#VALUE!</v>
      </c>
      <c r="H17" s="1">
        <v>27.6</v>
      </c>
      <c r="I17">
        <v>0.1</v>
      </c>
      <c r="L17" t="s">
        <v>35</v>
      </c>
      <c r="M17" t="s">
        <v>26</v>
      </c>
    </row>
    <row r="18" spans="1:13" x14ac:dyDescent="0.2">
      <c r="A18">
        <v>1948</v>
      </c>
      <c r="B18">
        <v>2</v>
      </c>
      <c r="C18" t="s">
        <v>10</v>
      </c>
      <c r="D18">
        <v>3503</v>
      </c>
      <c r="E18" t="s">
        <v>10</v>
      </c>
      <c r="F18">
        <f t="shared" si="0"/>
        <v>1067.7144000000001</v>
      </c>
      <c r="G18" t="e">
        <f t="shared" si="0"/>
        <v>#VALUE!</v>
      </c>
      <c r="H18" s="1">
        <v>28.2</v>
      </c>
      <c r="I18">
        <v>0.1</v>
      </c>
      <c r="L18" t="s">
        <v>35</v>
      </c>
      <c r="M18" t="s">
        <v>27</v>
      </c>
    </row>
    <row r="19" spans="1:13" x14ac:dyDescent="0.2">
      <c r="A19">
        <v>1948</v>
      </c>
      <c r="B19">
        <v>2</v>
      </c>
      <c r="C19" t="s">
        <v>10</v>
      </c>
      <c r="D19">
        <v>2659</v>
      </c>
      <c r="E19" t="s">
        <v>10</v>
      </c>
      <c r="F19">
        <f t="shared" si="0"/>
        <v>810.46320000000003</v>
      </c>
      <c r="G19" t="e">
        <f t="shared" si="0"/>
        <v>#VALUE!</v>
      </c>
      <c r="H19" s="1">
        <v>28.8</v>
      </c>
      <c r="I19">
        <v>0.1</v>
      </c>
      <c r="L19" t="s">
        <v>35</v>
      </c>
      <c r="M19" t="s">
        <v>28</v>
      </c>
    </row>
    <row r="20" spans="1:13" x14ac:dyDescent="0.2">
      <c r="A20">
        <v>1948</v>
      </c>
      <c r="B20">
        <v>2</v>
      </c>
      <c r="C20" t="s">
        <v>10</v>
      </c>
      <c r="D20">
        <v>2816</v>
      </c>
      <c r="E20" t="s">
        <v>10</v>
      </c>
      <c r="F20">
        <f t="shared" si="0"/>
        <v>858.31679999999994</v>
      </c>
      <c r="G20" t="e">
        <f t="shared" si="0"/>
        <v>#VALUE!</v>
      </c>
      <c r="H20" s="1">
        <v>29.4</v>
      </c>
      <c r="I20">
        <v>0.1</v>
      </c>
      <c r="L20" t="s">
        <v>35</v>
      </c>
      <c r="M20" t="s">
        <v>29</v>
      </c>
    </row>
    <row r="21" spans="1:13" x14ac:dyDescent="0.2">
      <c r="A21">
        <v>1948</v>
      </c>
      <c r="B21">
        <v>2</v>
      </c>
      <c r="C21" t="s">
        <v>10</v>
      </c>
      <c r="D21">
        <v>2972</v>
      </c>
      <c r="E21" t="s">
        <v>10</v>
      </c>
      <c r="F21">
        <f t="shared" si="0"/>
        <v>905.86559999999997</v>
      </c>
      <c r="G21" t="e">
        <f t="shared" si="0"/>
        <v>#VALUE!</v>
      </c>
      <c r="H21" s="1">
        <v>30.1</v>
      </c>
      <c r="I21">
        <v>0.1</v>
      </c>
      <c r="L21" t="s">
        <v>35</v>
      </c>
      <c r="M21" t="s">
        <v>30</v>
      </c>
    </row>
    <row r="22" spans="1:13" x14ac:dyDescent="0.2">
      <c r="A22">
        <v>1948</v>
      </c>
      <c r="B22">
        <v>2</v>
      </c>
      <c r="C22" t="s">
        <v>10</v>
      </c>
      <c r="D22">
        <v>3066</v>
      </c>
      <c r="E22" t="s">
        <v>10</v>
      </c>
      <c r="F22">
        <f t="shared" si="0"/>
        <v>934.51679999999999</v>
      </c>
      <c r="G22" t="e">
        <f t="shared" si="0"/>
        <v>#VALUE!</v>
      </c>
      <c r="H22" s="1">
        <v>30.4</v>
      </c>
      <c r="I22">
        <v>0.1</v>
      </c>
      <c r="L22" t="s">
        <v>35</v>
      </c>
      <c r="M22" t="s">
        <v>31</v>
      </c>
    </row>
    <row r="24" spans="1:13" x14ac:dyDescent="0.2">
      <c r="A24">
        <v>1945</v>
      </c>
      <c r="B24">
        <v>8</v>
      </c>
      <c r="C24">
        <v>30</v>
      </c>
      <c r="D24">
        <v>3040</v>
      </c>
      <c r="E24" t="s">
        <v>10</v>
      </c>
      <c r="F24">
        <f t="shared" ref="F24" si="1">CONVERT(D24,"ft","m")</f>
        <v>926.59199999999998</v>
      </c>
      <c r="G24" t="e">
        <f t="shared" ref="G24" si="2">CONVERT(E24,"ft","m")</f>
        <v>#VALUE!</v>
      </c>
      <c r="H24">
        <f>CONVERT(J24,"F","C")</f>
        <v>35.555555555555557</v>
      </c>
      <c r="J24">
        <v>96</v>
      </c>
      <c r="K24" t="s">
        <v>10</v>
      </c>
      <c r="L24" t="s">
        <v>35</v>
      </c>
      <c r="M24" t="s">
        <v>38</v>
      </c>
    </row>
    <row r="25" spans="1:13" x14ac:dyDescent="0.2">
      <c r="A25">
        <v>1945</v>
      </c>
      <c r="B25">
        <v>9</v>
      </c>
      <c r="C25">
        <v>3</v>
      </c>
      <c r="D25">
        <v>3119</v>
      </c>
      <c r="E25" t="s">
        <v>10</v>
      </c>
      <c r="F25">
        <f t="shared" ref="F25:F30" si="3">CONVERT(D25,"ft","m")</f>
        <v>950.6712</v>
      </c>
      <c r="G25" t="e">
        <f t="shared" ref="G25:G30" si="4">CONVERT(E25,"ft","m")</f>
        <v>#VALUE!</v>
      </c>
      <c r="H25">
        <f t="shared" ref="H25:H30" si="5">CONVERT(J25,"F","C")</f>
        <v>29.444444444444443</v>
      </c>
      <c r="J25">
        <v>85</v>
      </c>
      <c r="K25" t="s">
        <v>10</v>
      </c>
      <c r="L25" t="s">
        <v>35</v>
      </c>
      <c r="M25" t="s">
        <v>37</v>
      </c>
    </row>
    <row r="26" spans="1:13" x14ac:dyDescent="0.2">
      <c r="A26">
        <v>1945</v>
      </c>
      <c r="B26">
        <v>9</v>
      </c>
      <c r="C26">
        <v>19</v>
      </c>
      <c r="D26">
        <v>3647</v>
      </c>
      <c r="E26" t="s">
        <v>10</v>
      </c>
      <c r="F26">
        <f t="shared" si="3"/>
        <v>1111.6056000000001</v>
      </c>
      <c r="G26" t="e">
        <f t="shared" si="4"/>
        <v>#VALUE!</v>
      </c>
      <c r="H26">
        <f t="shared" si="5"/>
        <v>34.444444444444443</v>
      </c>
      <c r="J26">
        <v>94</v>
      </c>
      <c r="K26" t="s">
        <v>10</v>
      </c>
      <c r="L26" t="s">
        <v>35</v>
      </c>
      <c r="M26" t="s">
        <v>40</v>
      </c>
    </row>
    <row r="27" spans="1:13" x14ac:dyDescent="0.2">
      <c r="A27">
        <v>1945</v>
      </c>
      <c r="B27">
        <v>9</v>
      </c>
      <c r="C27">
        <v>20</v>
      </c>
      <c r="D27">
        <v>3673</v>
      </c>
      <c r="E27" t="s">
        <v>10</v>
      </c>
      <c r="F27">
        <f t="shared" si="3"/>
        <v>1119.5304000000001</v>
      </c>
      <c r="G27" t="e">
        <f t="shared" si="4"/>
        <v>#VALUE!</v>
      </c>
      <c r="H27">
        <f t="shared" si="5"/>
        <v>37.222222222222221</v>
      </c>
      <c r="J27">
        <v>99</v>
      </c>
      <c r="K27" t="s">
        <v>10</v>
      </c>
      <c r="L27" t="s">
        <v>35</v>
      </c>
      <c r="M27" t="s">
        <v>39</v>
      </c>
    </row>
    <row r="28" spans="1:13" x14ac:dyDescent="0.2">
      <c r="A28">
        <v>1945</v>
      </c>
      <c r="B28">
        <v>7</v>
      </c>
      <c r="C28">
        <v>6</v>
      </c>
      <c r="D28">
        <v>1640</v>
      </c>
      <c r="E28" t="s">
        <v>10</v>
      </c>
      <c r="F28">
        <f t="shared" si="3"/>
        <v>499.87200000000001</v>
      </c>
      <c r="G28" t="e">
        <f t="shared" si="4"/>
        <v>#VALUE!</v>
      </c>
      <c r="H28">
        <f t="shared" si="5"/>
        <v>23.777777777777775</v>
      </c>
      <c r="J28">
        <v>74.8</v>
      </c>
      <c r="K28" t="s">
        <v>10</v>
      </c>
      <c r="L28" t="s">
        <v>35</v>
      </c>
      <c r="M28" t="s">
        <v>36</v>
      </c>
    </row>
    <row r="29" spans="1:13" x14ac:dyDescent="0.2">
      <c r="A29">
        <v>1945</v>
      </c>
      <c r="B29">
        <v>7</v>
      </c>
      <c r="C29">
        <v>7</v>
      </c>
      <c r="D29">
        <v>1829</v>
      </c>
      <c r="E29" t="s">
        <v>10</v>
      </c>
      <c r="F29">
        <f t="shared" si="3"/>
        <v>557.47919999999999</v>
      </c>
      <c r="G29" t="e">
        <f t="shared" si="4"/>
        <v>#VALUE!</v>
      </c>
      <c r="H29">
        <f t="shared" si="5"/>
        <v>24</v>
      </c>
      <c r="J29">
        <v>75.2</v>
      </c>
      <c r="K29" t="s">
        <v>10</v>
      </c>
      <c r="L29" t="s">
        <v>35</v>
      </c>
      <c r="M29" t="s">
        <v>36</v>
      </c>
    </row>
    <row r="30" spans="1:13" x14ac:dyDescent="0.2">
      <c r="A30">
        <v>1945</v>
      </c>
      <c r="B30">
        <v>7</v>
      </c>
      <c r="C30">
        <v>9</v>
      </c>
      <c r="D30">
        <v>1889</v>
      </c>
      <c r="E30" t="s">
        <v>10</v>
      </c>
      <c r="F30">
        <f t="shared" si="3"/>
        <v>575.7672</v>
      </c>
      <c r="G30" t="e">
        <f t="shared" si="4"/>
        <v>#VALUE!</v>
      </c>
      <c r="H30">
        <f t="shared" si="5"/>
        <v>24.055555555555554</v>
      </c>
      <c r="J30">
        <v>75.3</v>
      </c>
      <c r="K30" t="s">
        <v>10</v>
      </c>
      <c r="L30" t="s">
        <v>35</v>
      </c>
      <c r="M30" t="s">
        <v>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 Dickinson</cp:lastModifiedBy>
  <cp:revision/>
  <dcterms:created xsi:type="dcterms:W3CDTF">2020-09-03T13:55:39Z</dcterms:created>
  <dcterms:modified xsi:type="dcterms:W3CDTF">2021-01-20T14:25:43Z</dcterms:modified>
  <cp:category/>
  <cp:contentStatus/>
</cp:coreProperties>
</file>