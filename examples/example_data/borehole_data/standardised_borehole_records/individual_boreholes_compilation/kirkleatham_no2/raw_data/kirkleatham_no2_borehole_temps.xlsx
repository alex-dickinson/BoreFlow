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kirkleatham_no2/raw_data/"/>
    </mc:Choice>
  </mc:AlternateContent>
  <xr:revisionPtr revIDLastSave="0" documentId="13_ncr:1_{FCF69929-0580-6549-AC4E-6033F457E269}" xr6:coauthVersionLast="46" xr6:coauthVersionMax="46" xr10:uidLastSave="{00000000-0000-0000-0000-000000000000}"/>
  <bookViews>
    <workbookView xWindow="240" yWindow="500" windowWidth="24920" windowHeight="136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H12" i="1"/>
  <c r="I12" i="1"/>
  <c r="G13" i="1"/>
  <c r="H13" i="1"/>
  <c r="I13" i="1"/>
  <c r="F13" i="1"/>
  <c r="F12" i="1"/>
  <c r="I3" i="1"/>
  <c r="I4" i="1"/>
  <c r="I5" i="1"/>
  <c r="I6" i="1"/>
  <c r="I7" i="1"/>
  <c r="I8" i="1"/>
  <c r="I9" i="1"/>
  <c r="I10" i="1"/>
  <c r="I11" i="1"/>
  <c r="I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H3" i="1"/>
  <c r="H4" i="1"/>
  <c r="H5" i="1"/>
  <c r="H6" i="1"/>
  <c r="H7" i="1"/>
  <c r="H8" i="1"/>
  <c r="H9" i="1"/>
  <c r="H10" i="1"/>
  <c r="H11" i="1"/>
  <c r="H2" i="1"/>
  <c r="G2" i="1"/>
  <c r="F2" i="1"/>
</calcChain>
</file>

<file path=xl/sharedStrings.xml><?xml version="1.0" encoding="utf-8"?>
<sst xmlns="http://schemas.openxmlformats.org/spreadsheetml/2006/main" count="49" uniqueCount="21">
  <si>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</si>
  <si>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</si>
  <si>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</si>
  <si>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</si>
  <si>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</si>
  <si>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</si>
  <si>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</si>
  <si>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</si>
  <si>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</si>
  <si>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</si>
  <si>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unstated</t>
  </si>
  <si>
    <t>Temperature(degrees_F)</t>
  </si>
  <si>
    <t>Temperature_error(degrees_F)</t>
  </si>
  <si>
    <t>Use?</t>
  </si>
  <si>
    <t>y</t>
  </si>
  <si>
    <t>Type: DST? Source: "01 - Exploration Wells_KIRKLEATHAM 1_KIRKLEATHAM 1_Petroleum Engineering File.pdf", pg30of40. Also "01 - Exploration Wells_KIRKLEATHAM 2_KIRKLEATHAM 2_Petroleum Engineering File.pdf", pg25of34</t>
  </si>
  <si>
    <t>Type: DST? Source: "01 - Exploration Wells_KIRKLEATHAM 2_KIRKLEATHAM 2_Petroleum Engineering File.pdf", pg17of34</t>
  </si>
  <si>
    <t>79 or 80</t>
  </si>
  <si>
    <t>79 or 81</t>
  </si>
  <si>
    <t>Type: DST? Source: "01 - Exploration Wells_KIRKLEATHAM 2_KIRKLEATHAM 2_Petroleum Engineering File.pdf", pg10of34. Also on pg43of45 of "KIRKLEATHAM 2_KIRKLEATHAM 2_Final Well Report.pdf"</t>
  </si>
  <si>
    <t>Type: DST? Source: "01 - Exploration Wells_KIRKLEATHAM 2_KIRKLEATHAM 2_Petroleum Engineering File.pdf", pg10of34. Also on pg44of45 of "KIRKLEATHAM 2_KIRKLEATHAM 2_Final Well Report.pdf"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</si>
</sst>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21" sqref="K21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9" width="28.5" customWidth="1"/>
    <col min="10" max="10" width="19.6640625" customWidth="1"/>
    <col min="11" max="11" width="2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13</v>
      </c>
      <c r="M1" t="s">
        <v>9</v>
      </c>
    </row>
    <row r="2" spans="1:13" x14ac:dyDescent="0.2">
      <c r="D2">
        <v>2819</v>
      </c>
      <c r="E2" t="s">
        <v>10</v>
      </c>
      <c r="F2">
        <f t="shared" ref="F2" si="0">CONVERT(D2,"ft","m")</f>
        <v>859.23119999999994</v>
      </c>
      <c r="G2" t="e">
        <f t="shared" ref="G2" si="1">CONVERT(E2,"ft","m")</f>
        <v>#VALUE!</v>
      </c>
      <c r="H2">
        <f>CONVERT(J2,"F","C")</f>
        <v>35.555555555555557</v>
      </c>
      <c r="I2" t="e">
        <f>CONVERT(K2,"F","C")</f>
        <v>#VALUE!</v>
      </c>
      <c r="J2">
        <v>96</v>
      </c>
      <c r="K2" t="s">
        <v>10</v>
      </c>
      <c r="L2" t="s">
        <v>14</v>
      </c>
      <c r="M2" t="s">
        <v>15</v>
      </c>
    </row>
    <row r="3" spans="1:13" x14ac:dyDescent="0.2">
      <c r="E3" t="s">
        <v>10</v>
      </c>
      <c r="F3">
        <f t="shared" ref="F3:F13" si="2">CONVERT(D3,"ft","m")</f>
        <v>0</v>
      </c>
      <c r="G3" t="e">
        <f t="shared" ref="G3:G11" si="3">CONVERT(E3,"ft","m")</f>
        <v>#VALUE!</v>
      </c>
      <c r="H3">
        <f t="shared" ref="H3:H11" si="4">CONVERT(J3,"F","C")</f>
        <v>-17.777777777777779</v>
      </c>
      <c r="I3" t="e">
        <f t="shared" ref="I3:I11" si="5">CONVERT(K3,"F","C")</f>
        <v>#VALUE!</v>
      </c>
      <c r="K3" t="s">
        <v>10</v>
      </c>
    </row>
    <row r="4" spans="1:13" x14ac:dyDescent="0.2">
      <c r="E4" t="s">
        <v>10</v>
      </c>
      <c r="F4">
        <f t="shared" si="2"/>
        <v>0</v>
      </c>
      <c r="G4" t="e">
        <f t="shared" si="3"/>
        <v>#VALUE!</v>
      </c>
      <c r="H4">
        <f t="shared" si="4"/>
        <v>-17.777777777777779</v>
      </c>
      <c r="I4" t="e">
        <f t="shared" si="5"/>
        <v>#VALUE!</v>
      </c>
      <c r="K4" t="s">
        <v>10</v>
      </c>
    </row>
    <row r="5" spans="1:13" x14ac:dyDescent="0.2">
      <c r="A5">
        <v>1946</v>
      </c>
      <c r="B5">
        <v>4</v>
      </c>
      <c r="C5">
        <v>5</v>
      </c>
      <c r="D5">
        <v>2094</v>
      </c>
      <c r="E5" t="s">
        <v>10</v>
      </c>
      <c r="F5">
        <f t="shared" si="2"/>
        <v>638.25120000000004</v>
      </c>
      <c r="G5" t="e">
        <f t="shared" si="3"/>
        <v>#VALUE!</v>
      </c>
      <c r="H5">
        <f t="shared" si="4"/>
        <v>35.555555555555557</v>
      </c>
      <c r="I5" t="e">
        <f t="shared" si="5"/>
        <v>#VALUE!</v>
      </c>
      <c r="J5">
        <v>96</v>
      </c>
      <c r="K5" t="s">
        <v>10</v>
      </c>
      <c r="M5" t="s">
        <v>16</v>
      </c>
    </row>
    <row r="6" spans="1:13" x14ac:dyDescent="0.2">
      <c r="C6">
        <v>6</v>
      </c>
      <c r="D6">
        <v>2122</v>
      </c>
      <c r="E6" t="s">
        <v>10</v>
      </c>
      <c r="F6">
        <f t="shared" si="2"/>
        <v>646.78560000000004</v>
      </c>
      <c r="G6" t="e">
        <f t="shared" si="3"/>
        <v>#VALUE!</v>
      </c>
      <c r="H6">
        <f t="shared" si="4"/>
        <v>35.555555555555557</v>
      </c>
      <c r="I6" t="e">
        <f t="shared" si="5"/>
        <v>#VALUE!</v>
      </c>
      <c r="J6">
        <v>96</v>
      </c>
      <c r="K6" t="s">
        <v>10</v>
      </c>
      <c r="M6" t="s">
        <v>16</v>
      </c>
    </row>
    <row r="7" spans="1:13" x14ac:dyDescent="0.2">
      <c r="C7">
        <v>15</v>
      </c>
      <c r="D7">
        <v>2205</v>
      </c>
      <c r="E7" t="s">
        <v>10</v>
      </c>
      <c r="F7">
        <f t="shared" si="2"/>
        <v>672.08399999999995</v>
      </c>
      <c r="G7" t="e">
        <f t="shared" si="3"/>
        <v>#VALUE!</v>
      </c>
      <c r="H7">
        <f t="shared" si="4"/>
        <v>38.888888888888886</v>
      </c>
      <c r="I7" t="e">
        <f t="shared" si="5"/>
        <v>#VALUE!</v>
      </c>
      <c r="J7">
        <v>102</v>
      </c>
      <c r="K7" t="s">
        <v>10</v>
      </c>
      <c r="M7" t="s">
        <v>16</v>
      </c>
    </row>
    <row r="8" spans="1:13" x14ac:dyDescent="0.2">
      <c r="B8">
        <v>6</v>
      </c>
      <c r="C8">
        <v>6</v>
      </c>
      <c r="D8">
        <v>2500</v>
      </c>
      <c r="E8" t="s">
        <v>10</v>
      </c>
      <c r="F8">
        <f t="shared" si="2"/>
        <v>762</v>
      </c>
      <c r="G8" t="e">
        <f t="shared" si="3"/>
        <v>#VALUE!</v>
      </c>
      <c r="H8">
        <f t="shared" si="4"/>
        <v>26.666666666666664</v>
      </c>
      <c r="I8" t="e">
        <f t="shared" si="5"/>
        <v>#VALUE!</v>
      </c>
      <c r="J8">
        <v>80</v>
      </c>
      <c r="K8" t="s">
        <v>10</v>
      </c>
      <c r="M8" t="s">
        <v>19</v>
      </c>
    </row>
    <row r="9" spans="1:13" x14ac:dyDescent="0.2">
      <c r="C9">
        <v>12</v>
      </c>
      <c r="D9">
        <v>2530</v>
      </c>
      <c r="E9" t="s">
        <v>10</v>
      </c>
      <c r="F9">
        <f t="shared" si="2"/>
        <v>771.14400000000001</v>
      </c>
      <c r="G9" t="e">
        <f t="shared" si="3"/>
        <v>#VALUE!</v>
      </c>
      <c r="H9" t="e">
        <f t="shared" si="4"/>
        <v>#VALUE!</v>
      </c>
      <c r="I9" t="e">
        <f t="shared" si="5"/>
        <v>#VALUE!</v>
      </c>
      <c r="J9" t="s">
        <v>17</v>
      </c>
      <c r="K9" t="s">
        <v>10</v>
      </c>
      <c r="M9" t="s">
        <v>19</v>
      </c>
    </row>
    <row r="10" spans="1:13" x14ac:dyDescent="0.2">
      <c r="C10">
        <v>13</v>
      </c>
      <c r="D10">
        <v>2608</v>
      </c>
      <c r="E10" t="s">
        <v>10</v>
      </c>
      <c r="F10">
        <f t="shared" si="2"/>
        <v>794.91840000000002</v>
      </c>
      <c r="G10" t="e">
        <f t="shared" si="3"/>
        <v>#VALUE!</v>
      </c>
      <c r="H10" t="e">
        <f t="shared" si="4"/>
        <v>#VALUE!</v>
      </c>
      <c r="I10" t="e">
        <f t="shared" si="5"/>
        <v>#VALUE!</v>
      </c>
      <c r="J10" t="s">
        <v>17</v>
      </c>
      <c r="K10" t="s">
        <v>10</v>
      </c>
      <c r="M10" t="s">
        <v>19</v>
      </c>
    </row>
    <row r="11" spans="1:13" x14ac:dyDescent="0.2">
      <c r="C11">
        <v>15</v>
      </c>
      <c r="D11">
        <v>2759</v>
      </c>
      <c r="E11" t="s">
        <v>10</v>
      </c>
      <c r="F11">
        <f t="shared" si="2"/>
        <v>840.94320000000005</v>
      </c>
      <c r="G11" t="e">
        <f t="shared" si="3"/>
        <v>#VALUE!</v>
      </c>
      <c r="H11" t="e">
        <f t="shared" si="4"/>
        <v>#VALUE!</v>
      </c>
      <c r="I11" t="e">
        <f t="shared" si="5"/>
        <v>#VALUE!</v>
      </c>
      <c r="J11" t="s">
        <v>18</v>
      </c>
      <c r="K11" t="s">
        <v>10</v>
      </c>
      <c r="M11" t="s">
        <v>19</v>
      </c>
    </row>
    <row r="12" spans="1:13" x14ac:dyDescent="0.2">
      <c r="C12">
        <v>16</v>
      </c>
      <c r="D12">
        <v>2759</v>
      </c>
      <c r="F12">
        <f t="shared" si="2"/>
        <v>840.94320000000005</v>
      </c>
      <c r="G12">
        <f t="shared" ref="G12:G13" si="6">CONVERT(E12,"ft","m")</f>
        <v>0</v>
      </c>
      <c r="H12">
        <f t="shared" ref="H12:H13" si="7">CONVERT(J12,"F","C")</f>
        <v>26.666666666666664</v>
      </c>
      <c r="I12" t="e">
        <f t="shared" ref="I12:I13" si="8">CONVERT(K12,"F","C")</f>
        <v>#VALUE!</v>
      </c>
      <c r="J12">
        <v>80</v>
      </c>
      <c r="K12" t="s">
        <v>10</v>
      </c>
      <c r="M12" t="s">
        <v>20</v>
      </c>
    </row>
    <row r="13" spans="1:13" x14ac:dyDescent="0.2">
      <c r="C13">
        <v>21</v>
      </c>
      <c r="D13">
        <v>2819</v>
      </c>
      <c r="F13">
        <f t="shared" si="2"/>
        <v>859.23119999999994</v>
      </c>
      <c r="G13">
        <f t="shared" si="6"/>
        <v>0</v>
      </c>
      <c r="H13">
        <f t="shared" si="7"/>
        <v>33.333333333333336</v>
      </c>
      <c r="I13" t="e">
        <f t="shared" si="8"/>
        <v>#VALUE!</v>
      </c>
      <c r="J13">
        <v>92</v>
      </c>
      <c r="K13" t="s">
        <v>10</v>
      </c>
      <c r="M13" t="s">
        <v>20</v>
      </c>
    </row>
    <row r="14" spans="1:13" x14ac:dyDescent="0.2">
      <c r="H14" s="1"/>
    </row>
    <row r="15" spans="1:13" x14ac:dyDescent="0.2">
      <c r="H15" s="1"/>
    </row>
    <row r="16" spans="1:13" x14ac:dyDescent="0.2">
      <c r="H16" s="1"/>
    </row>
    <row r="17" spans="8:8" x14ac:dyDescent="0.2">
      <c r="H17" s="1"/>
    </row>
    <row r="18" spans="8:8" x14ac:dyDescent="0.2">
      <c r="H18" s="1"/>
    </row>
    <row r="19" spans="8:8" x14ac:dyDescent="0.2">
      <c r="H19" s="1"/>
    </row>
    <row r="20" spans="8:8" x14ac:dyDescent="0.2">
      <c r="H20" s="1"/>
    </row>
    <row r="21" spans="8:8" x14ac:dyDescent="0.2">
      <c r="H21" s="1"/>
    </row>
    <row r="22" spans="8:8" x14ac:dyDescent="0.2">
      <c r="H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2021-01-18T15:56:27Z</dcterms:modified>
  <cp:category/>
  <cp:contentStatus/>
</cp:coreProperties>
</file>