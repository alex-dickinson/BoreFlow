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thermal_conductivity_compilations/"/>
    </mc:Choice>
  </mc:AlternateContent>
  <xr:revisionPtr revIDLastSave="0" documentId="13_ncr:1_{809E1A05-55D5-9944-82B5-8F9CAEF62E56}" xr6:coauthVersionLast="46" xr6:coauthVersionMax="46" xr10:uidLastSave="{00000000-0000-0000-0000-000000000000}"/>
  <bookViews>
    <workbookView xWindow="-35220" yWindow="1320" windowWidth="32980" windowHeight="214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7" i="1" l="1"/>
  <c r="F56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6" i="1"/>
  <c r="K57" i="1"/>
  <c r="K21" i="1"/>
</calcChain>
</file>

<file path=xl/sharedStrings.xml><?xml version="1.0" encoding="utf-8"?>
<sst xmlns="http://schemas.openxmlformats.org/spreadsheetml/2006/main" count="856" uniqueCount="200">
  <si>
    <t>Dry sandstone</t>
  </si>
  <si>
    <t>Brine sat. sandstone</t>
  </si>
  <si>
    <t>Oil sat. sandstone</t>
  </si>
  <si>
    <t>Chemical sediments</t>
  </si>
  <si>
    <t>Physical sediments - low porosity (&lt;30%)</t>
  </si>
  <si>
    <t>Physical sediments - high porosity (&gt;80%)</t>
  </si>
  <si>
    <t>https://www.sciencedirect.com/handbook/handbook-of-petroleum-exploration-and-production/vol/8/suppl/C</t>
  </si>
  <si>
    <t>Granite</t>
  </si>
  <si>
    <t>Limestone</t>
  </si>
  <si>
    <t>Sandstone</t>
  </si>
  <si>
    <t>Shale</t>
  </si>
  <si>
    <t>Coal</t>
  </si>
  <si>
    <t>Somerton (1992)</t>
  </si>
  <si>
    <t>number_samples</t>
  </si>
  <si>
    <t>median_k(Wm-1K-1)</t>
  </si>
  <si>
    <t>mean_k(Wm-1K-1)</t>
  </si>
  <si>
    <t>range_k(Wm-1K-1)</t>
  </si>
  <si>
    <t>min_k(Wm-1K-1)</t>
  </si>
  <si>
    <t>max_k(Wm-1K-1)</t>
  </si>
  <si>
    <t>median_k(mcal_cm-1s-1K-1)</t>
  </si>
  <si>
    <t>mean_k(mcal_cm-1s-1K-1)</t>
  </si>
  <si>
    <t>range_k(mcal_cm-1s-1K-1)</t>
  </si>
  <si>
    <t>min_k(mcal_cm-1s-1K-1)</t>
  </si>
  <si>
    <t>max_k(mcal_cm-1s-1K-1)</t>
  </si>
  <si>
    <t>Don't have access to Cermak1982 - these data from Schoen (2011) Table 9.7</t>
  </si>
  <si>
    <t>Roy et al. (1981)</t>
  </si>
  <si>
    <t>Jessop1990 has complilations for lots of other igneous/metamorphic rocks</t>
  </si>
  <si>
    <t>Granite (Ralston Valley)</t>
  </si>
  <si>
    <t>Mudstone</t>
  </si>
  <si>
    <t>Siltstone</t>
  </si>
  <si>
    <t>Drury (1986)</t>
  </si>
  <si>
    <t>These values from Jessop (1990) Thermal Geophysics Chapter 2 pg 26of36</t>
  </si>
  <si>
    <t>Precambrian granite. These values from Jessop (1990) Thermal Geophysics Chapter 2 pg 26of36</t>
  </si>
  <si>
    <t>Don't have access to Rybach1981 - these data from Schoen (2011) Table 9.7</t>
  </si>
  <si>
    <t>Blackwell (1985)</t>
  </si>
  <si>
    <t>Gong (2005)</t>
  </si>
  <si>
    <t>Don't have access to Blackwell1985 - these data from Schoen (2011) Table 9.7</t>
  </si>
  <si>
    <t>Don't have access to Gong2005 - these data from Schoen (2011) Table 9.7</t>
  </si>
  <si>
    <t>use?</t>
  </si>
  <si>
    <t>y</t>
  </si>
  <si>
    <t>n</t>
  </si>
  <si>
    <t>stdev_k(Wm-1K-1)</t>
  </si>
  <si>
    <t>sterr_k(Wm-1K-1)</t>
  </si>
  <si>
    <t>stdev_k(mcal_cm-1s-1K-1)</t>
  </si>
  <si>
    <t>sterr_k(mcal_cm-1s-1K-1)</t>
  </si>
  <si>
    <t>commented</t>
  </si>
  <si>
    <t>source_name</t>
  </si>
  <si>
    <t>lith_type</t>
  </si>
  <si>
    <t>sandstone</t>
  </si>
  <si>
    <t>shale</t>
  </si>
  <si>
    <t>coal</t>
  </si>
  <si>
    <t>limestone</t>
  </si>
  <si>
    <t>granite</t>
  </si>
  <si>
    <t>mudstone</t>
  </si>
  <si>
    <t>siltstone</t>
  </si>
  <si>
    <t>notes</t>
  </si>
  <si>
    <t>source_description</t>
  </si>
  <si>
    <t>scource_code2</t>
  </si>
  <si>
    <t>source_code</t>
  </si>
  <si>
    <t>somerton1992</t>
  </si>
  <si>
    <t>clauser1995</t>
  </si>
  <si>
    <t>cermak1982</t>
  </si>
  <si>
    <t>roy1981</t>
  </si>
  <si>
    <t>reiter1982</t>
  </si>
  <si>
    <t>drury1986</t>
  </si>
  <si>
    <t>rybach1981</t>
  </si>
  <si>
    <t>blackwell1985</t>
  </si>
  <si>
    <t>gong2005</t>
  </si>
  <si>
    <t>jessop1990</t>
  </si>
  <si>
    <t>Cermak &amp; Rybach (1982)</t>
  </si>
  <si>
    <t>Drury (1987)</t>
  </si>
  <si>
    <t>drury1987</t>
  </si>
  <si>
    <t>Granite from Canadian Shield</t>
  </si>
  <si>
    <t>Granodiorite</t>
  </si>
  <si>
    <t>Gneiss</t>
  </si>
  <si>
    <t>Gabbro</t>
  </si>
  <si>
    <t>Basalt</t>
  </si>
  <si>
    <t>granodiorite</t>
  </si>
  <si>
    <t>gneiss</t>
  </si>
  <si>
    <t>gabbro</t>
  </si>
  <si>
    <t>basalt</t>
  </si>
  <si>
    <t>Basalt from Iceland</t>
  </si>
  <si>
    <t xml:space="preserve">Granodiorite from Canadian Shield. </t>
  </si>
  <si>
    <t>Gneiss from Canadian Shield</t>
  </si>
  <si>
    <t>Reiter &amp; Tovar (1982)</t>
  </si>
  <si>
    <t>Rybach &amp; Muffler (1981)</t>
  </si>
  <si>
    <t>Jessop (1990)</t>
  </si>
  <si>
    <t>Data compilation - compiles values from Roy1981, Reiter1982 and Drury1986</t>
  </si>
  <si>
    <t>Compilations from sources given above:</t>
  </si>
  <si>
    <t>See Somerton1992 Appendix B. Presents results from 9 sandstones that were measured in US(?). Measurements at 20 degrees C</t>
  </si>
  <si>
    <t>Clauser &amp; Huenges (1995)</t>
  </si>
  <si>
    <t>Volcanic rocks - high porosity (&gt;80%)</t>
  </si>
  <si>
    <t>Volcanic rocks - low porosity (&lt;30%)</t>
  </si>
  <si>
    <t>Plutonic rocks - low feldspar (&lt;60%)</t>
  </si>
  <si>
    <t>Plutonic rocks - high feldspar (&gt;60%)</t>
  </si>
  <si>
    <t>Metamorphic rocks - low quartz</t>
  </si>
  <si>
    <t>Metamorphic rocks - high quartz (quartzite only)</t>
  </si>
  <si>
    <t>Figure 1, pg6of23</t>
  </si>
  <si>
    <t>Do not present new data. Instead arrange previously published data into new groupings. Figure 1, pg6of23. Also have compilation tables for different minerals</t>
  </si>
  <si>
    <t>Schoen (2011)</t>
  </si>
  <si>
    <t>schoen2011</t>
  </si>
  <si>
    <t>See Appendix B</t>
  </si>
  <si>
    <t>Don't have access to Cermak1982 - these data from Schoen (2011) Table 9.4</t>
  </si>
  <si>
    <t>Syenite</t>
  </si>
  <si>
    <t>Diorite</t>
  </si>
  <si>
    <t>Peridotite</t>
  </si>
  <si>
    <t>Diabase</t>
  </si>
  <si>
    <t>Lava</t>
  </si>
  <si>
    <t>Quartzite</t>
  </si>
  <si>
    <t>Amphibolite</t>
  </si>
  <si>
    <t>Schist</t>
  </si>
  <si>
    <t>Marble</t>
  </si>
  <si>
    <t>Anhydrite</t>
  </si>
  <si>
    <t>Dolomite</t>
  </si>
  <si>
    <t>Claystone</t>
  </si>
  <si>
    <t>Marl</t>
  </si>
  <si>
    <t>Sand</t>
  </si>
  <si>
    <t>Clay</t>
  </si>
  <si>
    <t>Ocean sediments</t>
  </si>
  <si>
    <t>Graywacke</t>
  </si>
  <si>
    <t>Claystone/siltstone</t>
  </si>
  <si>
    <t>marl</t>
  </si>
  <si>
    <t>%!%#</t>
  </si>
  <si>
    <t>anhydrite</t>
  </si>
  <si>
    <t>dolomite</t>
  </si>
  <si>
    <t>claystone</t>
  </si>
  <si>
    <t>sand</t>
  </si>
  <si>
    <t>clay</t>
  </si>
  <si>
    <t>ocean_sediments</t>
  </si>
  <si>
    <t>clauser1996</t>
  </si>
  <si>
    <t>Table 3, pg18of23</t>
  </si>
  <si>
    <t>Halite</t>
  </si>
  <si>
    <t>Cermak &amp; Rybach (1982) values from Schoen (2011) - some are quite different to Cermak and Rybach plotted values</t>
  </si>
  <si>
    <t>Marl and marlstone</t>
  </si>
  <si>
    <t>Argillite</t>
  </si>
  <si>
    <t>Conglomerate</t>
  </si>
  <si>
    <t>Ocean and lake bottom sediments</t>
  </si>
  <si>
    <t>Have digitised from Figure 1 of Cermak1982 using https://apps.automeris.io/wpd/</t>
  </si>
  <si>
    <t>Salt</t>
  </si>
  <si>
    <t>halite</t>
  </si>
  <si>
    <t>conglomerate</t>
  </si>
  <si>
    <t>argillite</t>
  </si>
  <si>
    <t>mudrock</t>
  </si>
  <si>
    <t>Pyroxenite</t>
  </si>
  <si>
    <t>Dunite</t>
  </si>
  <si>
    <t>Andesite</t>
  </si>
  <si>
    <t>Porphyry and Porphyrite</t>
  </si>
  <si>
    <t>Dolerite (Diabase)</t>
  </si>
  <si>
    <t>Eclogite</t>
  </si>
  <si>
    <t>Gneiss (all samples, undivided, not oriented)</t>
  </si>
  <si>
    <t>Schist (all samples, undivided, not oriented)</t>
  </si>
  <si>
    <t>Have digitised from Figure 1 of Cermak1982. Conductivity values given to nearest 0.05 W m-1 K-1</t>
  </si>
  <si>
    <t>Have digitised from Figure 1 of Cermak1982. Conductivity values given to nearest 0.05 W m-1 K-2</t>
  </si>
  <si>
    <t>Have digitised from Figure 1 of Cermak1982. Conductivity values given to nearest 0.05 W m-1 K-3</t>
  </si>
  <si>
    <t>Have digitised from Figure 1 of Cermak1982. Conductivity values given to nearest 0.05 W m-1 K-4</t>
  </si>
  <si>
    <t>Have digitised from Figure 1 of Cermak1982. Conductivity values given to nearest 0.05 W m-1 K-5</t>
  </si>
  <si>
    <t>Have digitised from Figure 1 of Cermak1982. Conductivity values given to nearest 0.05 W m-1 K-6</t>
  </si>
  <si>
    <t>Have digitised from Figure 1 of Cermak1982. Conductivity values given to nearest 0.05 W m-1 K-7</t>
  </si>
  <si>
    <t>Have digitised from Figure 1 of Cermak1982. Conductivity values given to nearest 0.05 W m-1 K-8</t>
  </si>
  <si>
    <t>Have digitised from Figure 1 of Cermak1982. Conductivity values given to nearest 0.05 W m-1 K-9</t>
  </si>
  <si>
    <t>Have digitised from Figure 1 of Cermak1982. Conductivity values given to nearest 0.05 W m-1 K-10</t>
  </si>
  <si>
    <t>Have digitised from Figure 1 of Cermak1982. Conductivity values given to nearest 0.05 W m-1 K-11</t>
  </si>
  <si>
    <t>Have digitised from Figure 1 of Cermak1982. Conductivity values given to nearest 0.05 W m-1 K-12</t>
  </si>
  <si>
    <t>Have digitised from Figure 1 of Cermak1982. Conductivity values given to nearest 0.05 W m-1 K-13</t>
  </si>
  <si>
    <t>Have digitised from Figure 1 of Cermak1982. Conductivity values given to nearest 0.05 W m-1 K-14</t>
  </si>
  <si>
    <t>Have digitised from Figure 1 of Cermak1982. Conductivity values given to nearest 0.05 W m-1 K-15</t>
  </si>
  <si>
    <t>Have digitised from Figure 1 of Cermak1982. Conductivity values given to nearest 0.05 W m-1 K-16</t>
  </si>
  <si>
    <t>Have digitised from Figure 1 of Cermak1982. Conductivity values given to nearest 0.05 W m-1 K-17</t>
  </si>
  <si>
    <t>Have digitised from Figure 1 of Cermak1982. Conductivity values given to nearest 0.05 W m-1 K-18</t>
  </si>
  <si>
    <t>Have digitised from Figure 1 of Cermak1982. Conductivity values given to nearest 0.05 W m-1 K-19</t>
  </si>
  <si>
    <t>Have digitised from Figure 1 of Cermak1982. Conductivity values given to nearest 0.05 W m-1 K-20</t>
  </si>
  <si>
    <t>Have digitised from Figure 1 of Cermak1982. Conductivity values given to nearest 0.05 W m-1 K-21</t>
  </si>
  <si>
    <t>Have digitised from Figure 1 of Cermak1982. Conductivity values given to nearest 0.05 W m-1 K-22</t>
  </si>
  <si>
    <t>Have digitised from Figure 1 of Cermak1982. Conductivity values given to nearest 0.05 W m-1 K-23</t>
  </si>
  <si>
    <t>Have digitised from Figure 1 of Cermak1982. Conductivity values given to nearest 0.05 W m-1 K-24</t>
  </si>
  <si>
    <t>Have digitised from Figure 1 of Cermak1982. Conductivity values given to nearest 0.05 W m-1 K-25</t>
  </si>
  <si>
    <t>Have digitised from Figure 1 of Cermak1982. Conductivity values given to nearest 0.05 W m-1 K-26</t>
  </si>
  <si>
    <t>Have digitised from Figure 1 of Cermak1982. Conductivity values given to nearest 0.05 W m-1 K-27</t>
  </si>
  <si>
    <t>Have digitised from Figure 1 of Cermak1982. Conductivity values given to nearest 0.05 W m-1 K-28</t>
  </si>
  <si>
    <t>Have digitised from Figure 1 of Cermak1982. Conductivity values given to nearest 0.05 W m-1 K-29</t>
  </si>
  <si>
    <t>Have digitised from Figure 1 of Cermak1982. Conductivity values given to nearest 0.05 W m-1 K-30</t>
  </si>
  <si>
    <t>Have digitised from Figure 1 of Cermak1982. Conductivity values given to nearest 0.05 W m-1 K-31</t>
  </si>
  <si>
    <t>bigger than 8</t>
  </si>
  <si>
    <t>syenite</t>
  </si>
  <si>
    <t>diorite</t>
  </si>
  <si>
    <t>peridotite</t>
  </si>
  <si>
    <t>pyroxenite</t>
  </si>
  <si>
    <t>dunite</t>
  </si>
  <si>
    <t>lava</t>
  </si>
  <si>
    <t>andesite</t>
  </si>
  <si>
    <t>porphyrite</t>
  </si>
  <si>
    <t>dolerite</t>
  </si>
  <si>
    <t>quartzite</t>
  </si>
  <si>
    <t>eclogite</t>
  </si>
  <si>
    <t>schist</t>
  </si>
  <si>
    <t>amphibolite</t>
  </si>
  <si>
    <t>evaporite</t>
  </si>
  <si>
    <t>Have taken extremes of salt and anhydrite</t>
  </si>
  <si>
    <t>Have taken extremes of shale, argillite, siltstone, marl and marlstone, clay, and claystone</t>
  </si>
  <si>
    <t>unstated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</si>
</sst>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 (Body)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1"/>
    <xf numFmtId="0" fontId="2" fillId="0" borderId="0" xfId="0" applyFont="1"/>
    <xf numFmtId="0" fontId="4" fillId="0" borderId="0" xfId="0" applyFont="1"/>
    <xf numFmtId="0" fontId="0" fillId="0" borderId="0" xfId="0" applyFont="1"/>
    <xf numFmtId="0" fontId="5" fillId="0" borderId="0" xfId="0" applyFont="1"/>
    <xf numFmtId="0" fontId="0" fillId="2" borderId="0" xfId="0" applyFill="1"/>
    <xf numFmtId="0" fontId="2" fillId="2" borderId="0" xfId="0" applyFont="1" applyFill="1"/>
    <xf numFmtId="0" fontId="2" fillId="3" borderId="0" xfId="0" applyFont="1" applyFill="1"/>
    <xf numFmtId="0" fontId="0" fillId="3" borderId="0" xfId="0" applyFill="1"/>
    <xf numFmtId="0" fontId="4" fillId="3" borderId="0" xfId="0" applyFont="1" applyFill="1"/>
    <xf numFmtId="0" fontId="1" fillId="3" borderId="0" xfId="1" applyFill="1"/>
    <xf numFmtId="0" fontId="6" fillId="0" borderId="0" xfId="0" applyFont="1"/>
    <xf numFmtId="0" fontId="4" fillId="2" borderId="0" xfId="0" applyFont="1" applyFill="1"/>
    <xf numFmtId="0" fontId="0" fillId="0" borderId="0" xfId="0" applyFill="1"/>
    <xf numFmtId="0" fontId="2" fillId="0" borderId="0" xfId="0" applyFont="1" applyFill="1"/>
    <xf numFmtId="2" fontId="0" fillId="0" borderId="0" xfId="0" applyNumberFormat="1"/>
    <xf numFmtId="0" fontId="0" fillId="4" borderId="0" xfId="0" applyFill="1"/>
    <xf numFmtId="0" fontId="2" fillId="4" borderId="0" xfId="0" applyFont="1" applyFill="1"/>
    <xf numFmtId="0" fontId="0" fillId="4" borderId="0" xfId="0" applyFont="1" applyFill="1"/>
    <xf numFmtId="2" fontId="0" fillId="4" borderId="0" xfId="0" applyNumberFormat="1" applyFill="1"/>
    <xf numFmtId="0" fontId="0" fillId="3" borderId="0" xfId="0" applyFont="1" applyFill="1"/>
    <xf numFmtId="2" fontId="0" fillId="3" borderId="0" xfId="0" applyNumberFormat="1" applyFill="1"/>
    <xf numFmtId="0" fontId="0" fillId="5" borderId="0" xfId="0" applyFill="1"/>
    <xf numFmtId="0" fontId="2" fillId="5" borderId="0" xfId="0" applyFont="1" applyFill="1"/>
    <xf numFmtId="0" fontId="0" fillId="5" borderId="0" xfId="0" applyFont="1" applyFill="1"/>
    <xf numFmtId="2" fontId="0" fillId="5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handbook/handbook-of-petroleum-exploration-and-production/vol/8/suppl/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8"/>
  <sheetViews>
    <sheetView tabSelected="1" workbookViewId="0">
      <pane ySplit="1" topLeftCell="A10" activePane="bottomLeft" state="frozen"/>
      <selection pane="bottomLeft" activeCell="F58" sqref="F58"/>
    </sheetView>
  </sheetViews>
  <sheetFormatPr baseColWidth="10" defaultColWidth="8.83203125" defaultRowHeight="15" x14ac:dyDescent="0.2"/>
  <cols>
    <col min="1" max="1" width="10.6640625" bestFit="1" customWidth="1"/>
    <col min="2" max="2" width="21.6640625" bestFit="1" customWidth="1"/>
    <col min="3" max="4" width="13" customWidth="1"/>
    <col min="5" max="5" width="31.6640625" customWidth="1"/>
    <col min="6" max="6" width="15" customWidth="1"/>
    <col min="7" max="7" width="18.5" customWidth="1"/>
    <col min="8" max="8" width="16.6640625" customWidth="1"/>
    <col min="9" max="10" width="13.83203125" customWidth="1"/>
    <col min="11" max="11" width="16.6640625" customWidth="1"/>
    <col min="12" max="12" width="14.6640625" customWidth="1"/>
    <col min="13" max="13" width="14.1640625" bestFit="1" customWidth="1"/>
    <col min="14" max="14" width="22.83203125" hidden="1" customWidth="1"/>
    <col min="15" max="15" width="21.1640625" hidden="1" customWidth="1"/>
    <col min="16" max="16" width="21" hidden="1" customWidth="1"/>
    <col min="17" max="17" width="20.5" hidden="1" customWidth="1"/>
    <col min="18" max="18" width="21.1640625" hidden="1" customWidth="1"/>
    <col min="19" max="19" width="20" hidden="1" customWidth="1"/>
    <col min="20" max="20" width="20.1640625" hidden="1" customWidth="1"/>
    <col min="21" max="21" width="22" customWidth="1"/>
  </cols>
  <sheetData>
    <row r="1" spans="1:23" s="3" customFormat="1" ht="16" x14ac:dyDescent="0.2">
      <c r="A1" s="3" t="s">
        <v>45</v>
      </c>
      <c r="B1" s="3" t="s">
        <v>46</v>
      </c>
      <c r="C1" s="3" t="s">
        <v>58</v>
      </c>
      <c r="D1" s="5" t="s">
        <v>47</v>
      </c>
      <c r="E1" s="3" t="s">
        <v>56</v>
      </c>
      <c r="F1" s="3" t="s">
        <v>13</v>
      </c>
      <c r="G1" s="3" t="s">
        <v>14</v>
      </c>
      <c r="H1" s="3" t="s">
        <v>15</v>
      </c>
      <c r="I1" s="3" t="s">
        <v>41</v>
      </c>
      <c r="J1" s="3" t="s">
        <v>42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43</v>
      </c>
      <c r="Q1" s="3" t="s">
        <v>44</v>
      </c>
      <c r="R1" s="3" t="s">
        <v>21</v>
      </c>
      <c r="S1" s="3" t="s">
        <v>22</v>
      </c>
      <c r="T1" s="3" t="s">
        <v>23</v>
      </c>
      <c r="U1" s="3" t="s">
        <v>57</v>
      </c>
      <c r="V1" s="3" t="s">
        <v>38</v>
      </c>
      <c r="W1" s="3" t="s">
        <v>55</v>
      </c>
    </row>
    <row r="2" spans="1:23" s="3" customFormat="1" ht="16" x14ac:dyDescent="0.2">
      <c r="A2" t="s">
        <v>122</v>
      </c>
      <c r="B2" s="12" t="s">
        <v>12</v>
      </c>
      <c r="C2" s="2" t="s">
        <v>101</v>
      </c>
      <c r="D2" s="5"/>
    </row>
    <row r="3" spans="1:23" x14ac:dyDescent="0.2">
      <c r="B3" s="2" t="s">
        <v>12</v>
      </c>
      <c r="C3" s="4" t="s">
        <v>59</v>
      </c>
      <c r="E3" t="s">
        <v>0</v>
      </c>
      <c r="L3">
        <v>1.59</v>
      </c>
      <c r="M3">
        <v>3.56</v>
      </c>
      <c r="U3" s="4" t="s">
        <v>59</v>
      </c>
      <c r="V3" t="s">
        <v>40</v>
      </c>
      <c r="W3" t="s">
        <v>89</v>
      </c>
    </row>
    <row r="4" spans="1:23" x14ac:dyDescent="0.2">
      <c r="B4" s="2" t="s">
        <v>12</v>
      </c>
      <c r="C4" s="4" t="s">
        <v>59</v>
      </c>
      <c r="E4" t="s">
        <v>1</v>
      </c>
      <c r="L4">
        <v>2.46</v>
      </c>
      <c r="M4">
        <v>5.64</v>
      </c>
      <c r="U4" s="4" t="s">
        <v>59</v>
      </c>
      <c r="V4" t="s">
        <v>40</v>
      </c>
      <c r="W4" t="s">
        <v>89</v>
      </c>
    </row>
    <row r="5" spans="1:23" x14ac:dyDescent="0.2">
      <c r="B5" s="2" t="s">
        <v>12</v>
      </c>
      <c r="C5" s="4" t="s">
        <v>59</v>
      </c>
      <c r="E5" t="s">
        <v>2</v>
      </c>
      <c r="L5">
        <v>2.11</v>
      </c>
      <c r="M5">
        <v>4.3899999999999997</v>
      </c>
      <c r="U5" s="4" t="s">
        <v>59</v>
      </c>
      <c r="V5" t="s">
        <v>40</v>
      </c>
      <c r="W5" t="s">
        <v>89</v>
      </c>
    </row>
    <row r="6" spans="1:23" x14ac:dyDescent="0.2">
      <c r="A6" t="s">
        <v>122</v>
      </c>
      <c r="B6" s="2"/>
      <c r="C6" s="4"/>
      <c r="U6" s="4"/>
    </row>
    <row r="7" spans="1:23" x14ac:dyDescent="0.2">
      <c r="A7" t="s">
        <v>122</v>
      </c>
      <c r="B7" s="3" t="s">
        <v>90</v>
      </c>
      <c r="C7" s="2" t="s">
        <v>98</v>
      </c>
      <c r="D7" s="2"/>
      <c r="V7" s="2"/>
    </row>
    <row r="8" spans="1:23" x14ac:dyDescent="0.2">
      <c r="B8" s="2" t="s">
        <v>90</v>
      </c>
      <c r="C8" s="4" t="s">
        <v>60</v>
      </c>
      <c r="E8" t="s">
        <v>3</v>
      </c>
      <c r="F8">
        <v>1312</v>
      </c>
      <c r="G8">
        <v>2.2000000000000002</v>
      </c>
      <c r="H8">
        <v>2.6</v>
      </c>
      <c r="I8">
        <v>1.3</v>
      </c>
      <c r="U8" s="4" t="s">
        <v>60</v>
      </c>
      <c r="V8" t="s">
        <v>40</v>
      </c>
      <c r="W8" t="s">
        <v>97</v>
      </c>
    </row>
    <row r="9" spans="1:23" x14ac:dyDescent="0.2">
      <c r="B9" s="2" t="s">
        <v>90</v>
      </c>
      <c r="C9" s="4" t="s">
        <v>60</v>
      </c>
      <c r="E9" t="s">
        <v>4</v>
      </c>
      <c r="F9">
        <v>1880</v>
      </c>
      <c r="G9">
        <v>2.2000000000000002</v>
      </c>
      <c r="H9">
        <v>2.4</v>
      </c>
      <c r="I9">
        <v>0.6</v>
      </c>
      <c r="U9" s="4" t="s">
        <v>60</v>
      </c>
      <c r="V9" t="s">
        <v>40</v>
      </c>
      <c r="W9" t="s">
        <v>97</v>
      </c>
    </row>
    <row r="10" spans="1:23" x14ac:dyDescent="0.2">
      <c r="B10" s="2" t="s">
        <v>90</v>
      </c>
      <c r="C10" s="4" t="s">
        <v>60</v>
      </c>
      <c r="E10" t="s">
        <v>5</v>
      </c>
      <c r="F10">
        <v>983</v>
      </c>
      <c r="G10">
        <v>1</v>
      </c>
      <c r="H10">
        <v>1.2</v>
      </c>
      <c r="I10">
        <v>0.4</v>
      </c>
      <c r="U10" s="4" t="s">
        <v>60</v>
      </c>
      <c r="V10" t="s">
        <v>40</v>
      </c>
      <c r="W10" t="s">
        <v>97</v>
      </c>
    </row>
    <row r="11" spans="1:23" x14ac:dyDescent="0.2">
      <c r="B11" s="2" t="s">
        <v>90</v>
      </c>
      <c r="C11" s="4" t="s">
        <v>60</v>
      </c>
      <c r="E11" t="s">
        <v>92</v>
      </c>
      <c r="F11">
        <v>234</v>
      </c>
      <c r="G11">
        <v>3.2</v>
      </c>
      <c r="H11">
        <v>2.9</v>
      </c>
      <c r="I11">
        <v>0.7</v>
      </c>
      <c r="U11" s="4" t="s">
        <v>60</v>
      </c>
      <c r="V11" t="s">
        <v>40</v>
      </c>
      <c r="W11" t="s">
        <v>97</v>
      </c>
    </row>
    <row r="12" spans="1:23" x14ac:dyDescent="0.2">
      <c r="B12" s="2" t="s">
        <v>90</v>
      </c>
      <c r="C12" s="4" t="s">
        <v>60</v>
      </c>
      <c r="E12" t="s">
        <v>91</v>
      </c>
      <c r="F12">
        <v>92</v>
      </c>
      <c r="G12">
        <v>1.6</v>
      </c>
      <c r="H12">
        <v>1.9</v>
      </c>
      <c r="I12">
        <v>0.4</v>
      </c>
      <c r="U12" s="4" t="s">
        <v>60</v>
      </c>
      <c r="V12" t="s">
        <v>40</v>
      </c>
      <c r="W12" t="s">
        <v>97</v>
      </c>
    </row>
    <row r="13" spans="1:23" x14ac:dyDescent="0.2">
      <c r="B13" s="2" t="s">
        <v>90</v>
      </c>
      <c r="C13" s="4" t="s">
        <v>60</v>
      </c>
      <c r="E13" t="s">
        <v>93</v>
      </c>
      <c r="F13">
        <v>1339</v>
      </c>
      <c r="G13">
        <v>2.9</v>
      </c>
      <c r="H13">
        <v>3</v>
      </c>
      <c r="I13">
        <v>0.6</v>
      </c>
      <c r="U13" s="4" t="s">
        <v>60</v>
      </c>
      <c r="V13" t="s">
        <v>40</v>
      </c>
      <c r="W13" t="s">
        <v>97</v>
      </c>
    </row>
    <row r="14" spans="1:23" x14ac:dyDescent="0.2">
      <c r="B14" s="2" t="s">
        <v>90</v>
      </c>
      <c r="C14" s="4" t="s">
        <v>60</v>
      </c>
      <c r="E14" t="s">
        <v>94</v>
      </c>
      <c r="F14">
        <v>303</v>
      </c>
      <c r="G14">
        <v>2.4</v>
      </c>
      <c r="H14">
        <v>2.6</v>
      </c>
      <c r="I14">
        <v>0.4</v>
      </c>
      <c r="U14" s="4" t="s">
        <v>60</v>
      </c>
      <c r="V14" t="s">
        <v>40</v>
      </c>
      <c r="W14" t="s">
        <v>97</v>
      </c>
    </row>
    <row r="15" spans="1:23" x14ac:dyDescent="0.2">
      <c r="B15" s="2" t="s">
        <v>90</v>
      </c>
      <c r="C15" s="4" t="s">
        <v>60</v>
      </c>
      <c r="E15" t="s">
        <v>95</v>
      </c>
      <c r="F15">
        <v>1480</v>
      </c>
      <c r="G15">
        <v>2.9</v>
      </c>
      <c r="H15">
        <v>2.9</v>
      </c>
      <c r="I15">
        <v>0.6</v>
      </c>
      <c r="U15" s="4" t="s">
        <v>60</v>
      </c>
      <c r="V15" t="s">
        <v>40</v>
      </c>
      <c r="W15" t="s">
        <v>97</v>
      </c>
    </row>
    <row r="16" spans="1:23" x14ac:dyDescent="0.2">
      <c r="B16" s="2" t="s">
        <v>90</v>
      </c>
      <c r="C16" s="4" t="s">
        <v>60</v>
      </c>
      <c r="E16" t="s">
        <v>96</v>
      </c>
      <c r="F16">
        <v>90</v>
      </c>
      <c r="G16">
        <v>5.6</v>
      </c>
      <c r="H16">
        <v>5.8</v>
      </c>
      <c r="I16">
        <v>0.4</v>
      </c>
      <c r="U16" s="4" t="s">
        <v>60</v>
      </c>
      <c r="V16" t="s">
        <v>40</v>
      </c>
      <c r="W16" t="s">
        <v>97</v>
      </c>
    </row>
    <row r="17" spans="1:23" x14ac:dyDescent="0.2">
      <c r="B17" s="2"/>
      <c r="C17" s="4"/>
      <c r="U17" s="4"/>
    </row>
    <row r="18" spans="1:23" x14ac:dyDescent="0.2">
      <c r="B18" s="2" t="s">
        <v>90</v>
      </c>
      <c r="C18" s="4" t="s">
        <v>129</v>
      </c>
      <c r="E18" t="s">
        <v>131</v>
      </c>
      <c r="F18">
        <v>8</v>
      </c>
      <c r="H18">
        <v>5.55</v>
      </c>
      <c r="I18">
        <v>1.02</v>
      </c>
      <c r="U18" s="4" t="s">
        <v>60</v>
      </c>
      <c r="V18" t="s">
        <v>40</v>
      </c>
      <c r="W18" t="s">
        <v>130</v>
      </c>
    </row>
    <row r="19" spans="1:23" x14ac:dyDescent="0.2">
      <c r="A19" t="s">
        <v>122</v>
      </c>
      <c r="B19" s="2"/>
      <c r="C19" s="4"/>
      <c r="U19" s="4"/>
    </row>
    <row r="20" spans="1:23" x14ac:dyDescent="0.2">
      <c r="A20" t="s">
        <v>122</v>
      </c>
      <c r="B20" s="3" t="s">
        <v>69</v>
      </c>
      <c r="C20" s="4"/>
      <c r="D20" s="2"/>
      <c r="U20" s="4"/>
      <c r="V20" s="2"/>
      <c r="W20" s="1"/>
    </row>
    <row r="21" spans="1:23" s="17" customFormat="1" x14ac:dyDescent="0.2">
      <c r="B21" s="18" t="s">
        <v>69</v>
      </c>
      <c r="C21" s="19" t="s">
        <v>61</v>
      </c>
      <c r="D21" s="17" t="s">
        <v>52</v>
      </c>
      <c r="E21" s="17" t="s">
        <v>7</v>
      </c>
      <c r="F21" s="17">
        <v>356</v>
      </c>
      <c r="G21" s="17" t="s">
        <v>199</v>
      </c>
      <c r="H21" s="20">
        <v>3.05</v>
      </c>
      <c r="I21" s="17" t="s">
        <v>199</v>
      </c>
      <c r="J21" s="17" t="s">
        <v>199</v>
      </c>
      <c r="K21" s="20">
        <f>M21-L21</f>
        <v>3.1500000000000004</v>
      </c>
      <c r="L21" s="20">
        <v>1.3</v>
      </c>
      <c r="M21" s="20">
        <v>4.45</v>
      </c>
      <c r="U21" s="19" t="s">
        <v>61</v>
      </c>
      <c r="V21" s="17" t="s">
        <v>39</v>
      </c>
      <c r="W21" s="17" t="s">
        <v>164</v>
      </c>
    </row>
    <row r="22" spans="1:23" s="17" customFormat="1" x14ac:dyDescent="0.2">
      <c r="B22" s="18" t="s">
        <v>69</v>
      </c>
      <c r="C22" s="19" t="s">
        <v>61</v>
      </c>
      <c r="D22" s="17" t="s">
        <v>77</v>
      </c>
      <c r="E22" s="17" t="s">
        <v>73</v>
      </c>
      <c r="F22" s="17">
        <v>89</v>
      </c>
      <c r="G22" s="17" t="s">
        <v>199</v>
      </c>
      <c r="H22" s="20">
        <v>2.65</v>
      </c>
      <c r="I22" s="17" t="s">
        <v>199</v>
      </c>
      <c r="J22" s="17" t="s">
        <v>199</v>
      </c>
      <c r="K22" s="20">
        <f t="shared" ref="K22:K57" si="0">M22-L22</f>
        <v>2.0500000000000003</v>
      </c>
      <c r="L22" s="20">
        <v>1.4</v>
      </c>
      <c r="M22" s="20">
        <v>3.45</v>
      </c>
      <c r="U22" s="19" t="s">
        <v>61</v>
      </c>
      <c r="V22" s="17" t="s">
        <v>39</v>
      </c>
      <c r="W22" s="17" t="s">
        <v>165</v>
      </c>
    </row>
    <row r="23" spans="1:23" s="17" customFormat="1" x14ac:dyDescent="0.2">
      <c r="B23" s="18" t="s">
        <v>69</v>
      </c>
      <c r="C23" s="19" t="s">
        <v>61</v>
      </c>
      <c r="D23" s="17" t="s">
        <v>183</v>
      </c>
      <c r="E23" s="17" t="s">
        <v>103</v>
      </c>
      <c r="F23" s="17">
        <v>50</v>
      </c>
      <c r="G23" s="17" t="s">
        <v>199</v>
      </c>
      <c r="H23" s="20">
        <v>2.31</v>
      </c>
      <c r="I23" s="17" t="s">
        <v>199</v>
      </c>
      <c r="J23" s="17" t="s">
        <v>199</v>
      </c>
      <c r="K23" s="20">
        <f t="shared" si="0"/>
        <v>3.9</v>
      </c>
      <c r="L23" s="20">
        <v>1.35</v>
      </c>
      <c r="M23" s="20">
        <v>5.25</v>
      </c>
      <c r="U23" s="19" t="s">
        <v>61</v>
      </c>
      <c r="V23" s="17" t="s">
        <v>39</v>
      </c>
      <c r="W23" s="17" t="s">
        <v>166</v>
      </c>
    </row>
    <row r="24" spans="1:23" s="17" customFormat="1" x14ac:dyDescent="0.2">
      <c r="B24" s="18" t="s">
        <v>69</v>
      </c>
      <c r="C24" s="19" t="s">
        <v>61</v>
      </c>
      <c r="D24" s="17" t="s">
        <v>184</v>
      </c>
      <c r="E24" s="17" t="s">
        <v>104</v>
      </c>
      <c r="F24" s="17">
        <v>185</v>
      </c>
      <c r="G24" s="17" t="s">
        <v>199</v>
      </c>
      <c r="H24" s="20">
        <v>2.91</v>
      </c>
      <c r="I24" s="17" t="s">
        <v>199</v>
      </c>
      <c r="J24" s="17" t="s">
        <v>199</v>
      </c>
      <c r="K24" s="20">
        <f t="shared" si="0"/>
        <v>2.4500000000000002</v>
      </c>
      <c r="L24" s="20">
        <v>1.75</v>
      </c>
      <c r="M24" s="20">
        <v>4.2</v>
      </c>
      <c r="U24" s="19" t="s">
        <v>61</v>
      </c>
      <c r="V24" s="17" t="s">
        <v>39</v>
      </c>
      <c r="W24" s="17" t="s">
        <v>167</v>
      </c>
    </row>
    <row r="25" spans="1:23" s="17" customFormat="1" x14ac:dyDescent="0.2">
      <c r="B25" s="18" t="s">
        <v>69</v>
      </c>
      <c r="C25" s="19" t="s">
        <v>61</v>
      </c>
      <c r="D25" s="17" t="s">
        <v>79</v>
      </c>
      <c r="E25" s="17" t="s">
        <v>75</v>
      </c>
      <c r="F25" s="17">
        <v>64</v>
      </c>
      <c r="G25" s="17" t="s">
        <v>199</v>
      </c>
      <c r="H25" s="20">
        <v>2.63</v>
      </c>
      <c r="I25" s="17" t="s">
        <v>199</v>
      </c>
      <c r="J25" s="17" t="s">
        <v>199</v>
      </c>
      <c r="K25" s="20">
        <f t="shared" si="0"/>
        <v>2.4</v>
      </c>
      <c r="L25" s="20">
        <v>1.65</v>
      </c>
      <c r="M25" s="20">
        <v>4.05</v>
      </c>
      <c r="U25" s="19" t="s">
        <v>61</v>
      </c>
      <c r="V25" s="17" t="s">
        <v>39</v>
      </c>
      <c r="W25" s="17" t="s">
        <v>168</v>
      </c>
    </row>
    <row r="26" spans="1:23" s="17" customFormat="1" x14ac:dyDescent="0.2">
      <c r="B26" s="18" t="s">
        <v>69</v>
      </c>
      <c r="C26" s="19" t="s">
        <v>61</v>
      </c>
      <c r="D26" s="17" t="s">
        <v>185</v>
      </c>
      <c r="E26" s="17" t="s">
        <v>105</v>
      </c>
      <c r="F26" s="17">
        <v>23</v>
      </c>
      <c r="G26" s="17" t="s">
        <v>199</v>
      </c>
      <c r="H26" s="20">
        <v>3.81</v>
      </c>
      <c r="I26" s="17" t="s">
        <v>199</v>
      </c>
      <c r="J26" s="17" t="s">
        <v>199</v>
      </c>
      <c r="K26" s="20">
        <f t="shared" si="0"/>
        <v>2.5499999999999998</v>
      </c>
      <c r="L26" s="20">
        <v>2.2999999999999998</v>
      </c>
      <c r="M26" s="20">
        <v>4.8499999999999996</v>
      </c>
      <c r="U26" s="19" t="s">
        <v>61</v>
      </c>
      <c r="V26" s="17" t="s">
        <v>39</v>
      </c>
      <c r="W26" s="17" t="s">
        <v>169</v>
      </c>
    </row>
    <row r="27" spans="1:23" s="17" customFormat="1" x14ac:dyDescent="0.2">
      <c r="B27" s="18" t="s">
        <v>69</v>
      </c>
      <c r="C27" s="19" t="s">
        <v>61</v>
      </c>
      <c r="D27" s="17" t="s">
        <v>186</v>
      </c>
      <c r="E27" s="17" t="s">
        <v>143</v>
      </c>
      <c r="F27" s="17">
        <v>71</v>
      </c>
      <c r="G27" s="17" t="s">
        <v>199</v>
      </c>
      <c r="H27" s="20">
        <v>4.2699999999999996</v>
      </c>
      <c r="I27" s="17" t="s">
        <v>199</v>
      </c>
      <c r="J27" s="17" t="s">
        <v>199</v>
      </c>
      <c r="K27" s="20">
        <f t="shared" si="0"/>
        <v>1.75</v>
      </c>
      <c r="L27" s="20">
        <v>3.3</v>
      </c>
      <c r="M27" s="20">
        <v>5.05</v>
      </c>
      <c r="U27" s="19" t="s">
        <v>61</v>
      </c>
      <c r="V27" s="17" t="s">
        <v>39</v>
      </c>
      <c r="W27" s="17" t="s">
        <v>170</v>
      </c>
    </row>
    <row r="28" spans="1:23" s="17" customFormat="1" x14ac:dyDescent="0.2">
      <c r="B28" s="18" t="s">
        <v>69</v>
      </c>
      <c r="C28" s="19" t="s">
        <v>61</v>
      </c>
      <c r="D28" s="17" t="s">
        <v>187</v>
      </c>
      <c r="E28" s="17" t="s">
        <v>144</v>
      </c>
      <c r="F28" s="17">
        <v>7</v>
      </c>
      <c r="G28" s="17" t="s">
        <v>199</v>
      </c>
      <c r="H28" s="20">
        <v>4.41</v>
      </c>
      <c r="I28" s="17" t="s">
        <v>199</v>
      </c>
      <c r="J28" s="17" t="s">
        <v>199</v>
      </c>
      <c r="K28" s="20">
        <f t="shared" si="0"/>
        <v>1.6000000000000005</v>
      </c>
      <c r="L28" s="20">
        <v>3.55</v>
      </c>
      <c r="M28" s="20">
        <v>5.15</v>
      </c>
      <c r="U28" s="19" t="s">
        <v>61</v>
      </c>
      <c r="V28" s="17" t="s">
        <v>39</v>
      </c>
      <c r="W28" s="17" t="s">
        <v>171</v>
      </c>
    </row>
    <row r="29" spans="1:23" s="17" customFormat="1" x14ac:dyDescent="0.2">
      <c r="B29" s="18" t="s">
        <v>69</v>
      </c>
      <c r="C29" s="19" t="s">
        <v>61</v>
      </c>
      <c r="D29" s="17" t="s">
        <v>188</v>
      </c>
      <c r="E29" s="17" t="s">
        <v>107</v>
      </c>
      <c r="F29" s="17">
        <v>85</v>
      </c>
      <c r="G29" s="17" t="s">
        <v>199</v>
      </c>
      <c r="H29" s="20">
        <v>2.5</v>
      </c>
      <c r="I29" s="17" t="s">
        <v>199</v>
      </c>
      <c r="J29" s="17" t="s">
        <v>199</v>
      </c>
      <c r="K29" s="20">
        <f t="shared" si="0"/>
        <v>4.3499999999999996</v>
      </c>
      <c r="L29" s="20">
        <v>0.2</v>
      </c>
      <c r="M29" s="20">
        <v>4.55</v>
      </c>
      <c r="U29" s="19" t="s">
        <v>61</v>
      </c>
      <c r="V29" s="17" t="s">
        <v>39</v>
      </c>
      <c r="W29" s="17" t="s">
        <v>172</v>
      </c>
    </row>
    <row r="30" spans="1:23" s="17" customFormat="1" x14ac:dyDescent="0.2">
      <c r="B30" s="18" t="s">
        <v>69</v>
      </c>
      <c r="C30" s="19" t="s">
        <v>61</v>
      </c>
      <c r="D30" s="17" t="s">
        <v>189</v>
      </c>
      <c r="E30" s="17" t="s">
        <v>145</v>
      </c>
      <c r="F30" s="17">
        <v>644</v>
      </c>
      <c r="G30" s="17" t="s">
        <v>199</v>
      </c>
      <c r="H30" s="20">
        <v>3.2</v>
      </c>
      <c r="I30" s="17" t="s">
        <v>199</v>
      </c>
      <c r="J30" s="17" t="s">
        <v>199</v>
      </c>
      <c r="K30" s="20">
        <f t="shared" si="0"/>
        <v>3.1</v>
      </c>
      <c r="L30" s="20">
        <v>1.6</v>
      </c>
      <c r="M30" s="20">
        <v>4.7</v>
      </c>
      <c r="U30" s="19" t="s">
        <v>61</v>
      </c>
      <c r="V30" s="17" t="s">
        <v>39</v>
      </c>
      <c r="W30" s="17" t="s">
        <v>173</v>
      </c>
    </row>
    <row r="31" spans="1:23" s="17" customFormat="1" x14ac:dyDescent="0.2">
      <c r="B31" s="18" t="s">
        <v>69</v>
      </c>
      <c r="C31" s="19" t="s">
        <v>61</v>
      </c>
      <c r="D31" s="17" t="s">
        <v>80</v>
      </c>
      <c r="E31" s="17" t="s">
        <v>76</v>
      </c>
      <c r="F31" s="17">
        <v>64</v>
      </c>
      <c r="G31" s="17" t="s">
        <v>199</v>
      </c>
      <c r="H31" s="20">
        <v>1.95</v>
      </c>
      <c r="I31" s="17" t="s">
        <v>199</v>
      </c>
      <c r="J31" s="17" t="s">
        <v>199</v>
      </c>
      <c r="K31" s="20">
        <f t="shared" si="0"/>
        <v>3.9499999999999997</v>
      </c>
      <c r="L31" s="20">
        <v>1.4</v>
      </c>
      <c r="M31" s="20">
        <v>5.35</v>
      </c>
      <c r="U31" s="19" t="s">
        <v>61</v>
      </c>
      <c r="V31" s="17" t="s">
        <v>39</v>
      </c>
      <c r="W31" s="17" t="s">
        <v>174</v>
      </c>
    </row>
    <row r="32" spans="1:23" s="17" customFormat="1" x14ac:dyDescent="0.2">
      <c r="B32" s="18" t="s">
        <v>69</v>
      </c>
      <c r="C32" s="19" t="s">
        <v>61</v>
      </c>
      <c r="D32" s="17" t="s">
        <v>190</v>
      </c>
      <c r="E32" s="17" t="s">
        <v>146</v>
      </c>
      <c r="F32" s="17">
        <v>237</v>
      </c>
      <c r="G32" s="17" t="s">
        <v>199</v>
      </c>
      <c r="H32" s="20">
        <v>2.82</v>
      </c>
      <c r="I32" s="17" t="s">
        <v>199</v>
      </c>
      <c r="J32" s="17" t="s">
        <v>199</v>
      </c>
      <c r="K32" s="20">
        <f t="shared" si="0"/>
        <v>3.5500000000000003</v>
      </c>
      <c r="L32" s="20">
        <v>0.6</v>
      </c>
      <c r="M32" s="20">
        <v>4.1500000000000004</v>
      </c>
      <c r="U32" s="19" t="s">
        <v>61</v>
      </c>
      <c r="V32" s="17" t="s">
        <v>39</v>
      </c>
      <c r="W32" s="17" t="s">
        <v>175</v>
      </c>
    </row>
    <row r="33" spans="1:23" s="17" customFormat="1" x14ac:dyDescent="0.2">
      <c r="B33" s="18" t="s">
        <v>69</v>
      </c>
      <c r="C33" s="19" t="s">
        <v>61</v>
      </c>
      <c r="D33" s="17" t="s">
        <v>191</v>
      </c>
      <c r="E33" s="17" t="s">
        <v>147</v>
      </c>
      <c r="F33" s="17">
        <v>115</v>
      </c>
      <c r="G33" s="17" t="s">
        <v>199</v>
      </c>
      <c r="H33" s="20">
        <v>2.64</v>
      </c>
      <c r="I33" s="17" t="s">
        <v>199</v>
      </c>
      <c r="J33" s="17" t="s">
        <v>199</v>
      </c>
      <c r="K33" s="20">
        <f t="shared" si="0"/>
        <v>2.7499999999999996</v>
      </c>
      <c r="L33" s="20">
        <v>1.6</v>
      </c>
      <c r="M33" s="20">
        <v>4.3499999999999996</v>
      </c>
      <c r="U33" s="19" t="s">
        <v>61</v>
      </c>
      <c r="V33" s="17" t="s">
        <v>39</v>
      </c>
      <c r="W33" s="17" t="s">
        <v>176</v>
      </c>
    </row>
    <row r="34" spans="1:23" s="17" customFormat="1" x14ac:dyDescent="0.2">
      <c r="B34" s="18" t="s">
        <v>69</v>
      </c>
      <c r="C34" s="19" t="s">
        <v>61</v>
      </c>
      <c r="D34" s="17" t="s">
        <v>192</v>
      </c>
      <c r="E34" s="17" t="s">
        <v>108</v>
      </c>
      <c r="F34" s="17">
        <v>186</v>
      </c>
      <c r="G34" s="17" t="s">
        <v>199</v>
      </c>
      <c r="H34" s="20">
        <v>4.55</v>
      </c>
      <c r="I34" s="17" t="s">
        <v>199</v>
      </c>
      <c r="J34" s="17" t="s">
        <v>199</v>
      </c>
      <c r="K34" s="20" t="e">
        <f t="shared" si="0"/>
        <v>#VALUE!</v>
      </c>
      <c r="L34" s="20">
        <v>3.1</v>
      </c>
      <c r="M34" s="20" t="s">
        <v>182</v>
      </c>
      <c r="U34" s="19" t="s">
        <v>61</v>
      </c>
      <c r="V34" s="17" t="s">
        <v>39</v>
      </c>
      <c r="W34" s="17" t="s">
        <v>177</v>
      </c>
    </row>
    <row r="35" spans="1:23" s="17" customFormat="1" x14ac:dyDescent="0.2">
      <c r="B35" s="18" t="s">
        <v>69</v>
      </c>
      <c r="C35" s="19" t="s">
        <v>61</v>
      </c>
      <c r="D35" s="17" t="s">
        <v>193</v>
      </c>
      <c r="E35" s="17" t="s">
        <v>148</v>
      </c>
      <c r="F35" s="17">
        <v>4</v>
      </c>
      <c r="G35" s="17" t="s">
        <v>199</v>
      </c>
      <c r="H35" s="20">
        <v>3.1</v>
      </c>
      <c r="I35" s="17" t="s">
        <v>199</v>
      </c>
      <c r="J35" s="17" t="s">
        <v>199</v>
      </c>
      <c r="K35" s="20">
        <f t="shared" si="0"/>
        <v>0.95000000000000018</v>
      </c>
      <c r="L35" s="20">
        <v>2.4</v>
      </c>
      <c r="M35" s="20">
        <v>3.35</v>
      </c>
      <c r="U35" s="19" t="s">
        <v>61</v>
      </c>
      <c r="V35" s="17" t="s">
        <v>39</v>
      </c>
      <c r="W35" s="17" t="s">
        <v>178</v>
      </c>
    </row>
    <row r="36" spans="1:23" s="17" customFormat="1" x14ac:dyDescent="0.2">
      <c r="B36" s="18" t="s">
        <v>69</v>
      </c>
      <c r="C36" s="19" t="s">
        <v>61</v>
      </c>
      <c r="D36" s="17" t="s">
        <v>78</v>
      </c>
      <c r="E36" s="17" t="s">
        <v>149</v>
      </c>
      <c r="F36" s="17">
        <v>388</v>
      </c>
      <c r="G36" s="17" t="s">
        <v>199</v>
      </c>
      <c r="H36" s="20">
        <v>2.44</v>
      </c>
      <c r="I36" s="17" t="s">
        <v>199</v>
      </c>
      <c r="J36" s="17" t="s">
        <v>199</v>
      </c>
      <c r="K36" s="20">
        <f t="shared" si="0"/>
        <v>3.55</v>
      </c>
      <c r="L36" s="20">
        <v>1.2</v>
      </c>
      <c r="M36" s="20">
        <v>4.75</v>
      </c>
      <c r="U36" s="19" t="s">
        <v>61</v>
      </c>
      <c r="V36" s="17" t="s">
        <v>39</v>
      </c>
      <c r="W36" s="17" t="s">
        <v>179</v>
      </c>
    </row>
    <row r="37" spans="1:23" s="17" customFormat="1" x14ac:dyDescent="0.2">
      <c r="B37" s="18" t="s">
        <v>69</v>
      </c>
      <c r="C37" s="19" t="s">
        <v>61</v>
      </c>
      <c r="D37" s="17" t="s">
        <v>194</v>
      </c>
      <c r="E37" s="17" t="s">
        <v>150</v>
      </c>
      <c r="F37" s="17">
        <v>122</v>
      </c>
      <c r="G37" s="17" t="s">
        <v>199</v>
      </c>
      <c r="H37" s="20">
        <v>3.14</v>
      </c>
      <c r="I37" s="17" t="s">
        <v>199</v>
      </c>
      <c r="J37" s="17" t="s">
        <v>199</v>
      </c>
      <c r="K37" s="20">
        <f t="shared" si="0"/>
        <v>3.7</v>
      </c>
      <c r="L37" s="20">
        <v>1.45</v>
      </c>
      <c r="M37" s="20">
        <v>5.15</v>
      </c>
      <c r="U37" s="19" t="s">
        <v>61</v>
      </c>
      <c r="V37" s="17" t="s">
        <v>39</v>
      </c>
      <c r="W37" s="17" t="s">
        <v>180</v>
      </c>
    </row>
    <row r="38" spans="1:23" s="17" customFormat="1" x14ac:dyDescent="0.2">
      <c r="B38" s="18" t="s">
        <v>69</v>
      </c>
      <c r="C38" s="19" t="s">
        <v>61</v>
      </c>
      <c r="D38" s="17" t="s">
        <v>195</v>
      </c>
      <c r="E38" s="17" t="s">
        <v>109</v>
      </c>
      <c r="F38" s="17">
        <v>78</v>
      </c>
      <c r="G38" s="17" t="s">
        <v>199</v>
      </c>
      <c r="H38" s="20">
        <v>2.46</v>
      </c>
      <c r="I38" s="17" t="s">
        <v>199</v>
      </c>
      <c r="J38" s="17" t="s">
        <v>199</v>
      </c>
      <c r="K38" s="20">
        <f t="shared" si="0"/>
        <v>2.5500000000000003</v>
      </c>
      <c r="L38" s="20">
        <v>1.4</v>
      </c>
      <c r="M38" s="20">
        <v>3.95</v>
      </c>
      <c r="U38" s="19" t="s">
        <v>61</v>
      </c>
      <c r="V38" s="17" t="s">
        <v>39</v>
      </c>
      <c r="W38" s="17" t="s">
        <v>181</v>
      </c>
    </row>
    <row r="39" spans="1:23" x14ac:dyDescent="0.2">
      <c r="A39" t="s">
        <v>122</v>
      </c>
      <c r="B39" s="2"/>
      <c r="C39" s="4"/>
      <c r="I39" s="17"/>
      <c r="J39" s="17"/>
      <c r="K39" s="20"/>
      <c r="L39" s="16"/>
      <c r="M39" s="16"/>
      <c r="U39" s="4"/>
    </row>
    <row r="40" spans="1:23" s="23" customFormat="1" x14ac:dyDescent="0.2">
      <c r="B40" s="24" t="s">
        <v>69</v>
      </c>
      <c r="C40" s="25" t="s">
        <v>61</v>
      </c>
      <c r="D40" s="23" t="s">
        <v>123</v>
      </c>
      <c r="E40" s="23" t="s">
        <v>112</v>
      </c>
      <c r="F40" s="23">
        <v>77</v>
      </c>
      <c r="G40" s="17" t="s">
        <v>199</v>
      </c>
      <c r="H40" s="26">
        <v>4.05</v>
      </c>
      <c r="I40" s="17" t="s">
        <v>199</v>
      </c>
      <c r="J40" s="17" t="s">
        <v>199</v>
      </c>
      <c r="K40" s="20">
        <f t="shared" si="0"/>
        <v>5.05</v>
      </c>
      <c r="L40" s="26">
        <v>1</v>
      </c>
      <c r="M40" s="26">
        <v>6.05</v>
      </c>
      <c r="U40" s="25" t="s">
        <v>61</v>
      </c>
      <c r="V40" s="23" t="s">
        <v>39</v>
      </c>
      <c r="W40" s="23" t="s">
        <v>137</v>
      </c>
    </row>
    <row r="41" spans="1:23" s="17" customFormat="1" x14ac:dyDescent="0.2">
      <c r="B41" s="18" t="s">
        <v>69</v>
      </c>
      <c r="C41" s="19" t="s">
        <v>61</v>
      </c>
      <c r="D41" s="17" t="s">
        <v>124</v>
      </c>
      <c r="E41" s="17" t="s">
        <v>113</v>
      </c>
      <c r="F41" s="17">
        <v>129</v>
      </c>
      <c r="G41" s="17" t="s">
        <v>199</v>
      </c>
      <c r="H41" s="20">
        <v>3.62</v>
      </c>
      <c r="I41" s="17" t="s">
        <v>199</v>
      </c>
      <c r="J41" s="17" t="s">
        <v>199</v>
      </c>
      <c r="K41" s="20">
        <f t="shared" si="0"/>
        <v>4.9499999999999993</v>
      </c>
      <c r="L41" s="20">
        <v>1.6</v>
      </c>
      <c r="M41" s="20">
        <v>6.55</v>
      </c>
      <c r="U41" s="19" t="s">
        <v>61</v>
      </c>
      <c r="V41" s="17" t="s">
        <v>39</v>
      </c>
      <c r="W41" s="17" t="s">
        <v>151</v>
      </c>
    </row>
    <row r="42" spans="1:23" s="9" customFormat="1" x14ac:dyDescent="0.2">
      <c r="B42" s="8" t="s">
        <v>69</v>
      </c>
      <c r="C42" s="21" t="s">
        <v>61</v>
      </c>
      <c r="D42" s="9" t="s">
        <v>125</v>
      </c>
      <c r="E42" s="9" t="s">
        <v>114</v>
      </c>
      <c r="F42" s="9">
        <v>19</v>
      </c>
      <c r="G42" s="17" t="s">
        <v>199</v>
      </c>
      <c r="H42" s="22">
        <v>2.4500000000000002</v>
      </c>
      <c r="I42" s="17" t="s">
        <v>199</v>
      </c>
      <c r="J42" s="17" t="s">
        <v>199</v>
      </c>
      <c r="K42" s="20">
        <f t="shared" si="0"/>
        <v>1.6500000000000001</v>
      </c>
      <c r="L42" s="22">
        <v>1.7</v>
      </c>
      <c r="M42" s="22">
        <v>3.35</v>
      </c>
      <c r="U42" s="21" t="s">
        <v>61</v>
      </c>
      <c r="V42" s="9" t="s">
        <v>39</v>
      </c>
      <c r="W42" s="9" t="s">
        <v>152</v>
      </c>
    </row>
    <row r="43" spans="1:23" s="9" customFormat="1" x14ac:dyDescent="0.2">
      <c r="B43" s="8" t="s">
        <v>69</v>
      </c>
      <c r="C43" s="21" t="s">
        <v>61</v>
      </c>
      <c r="D43" s="9" t="s">
        <v>121</v>
      </c>
      <c r="E43" s="9" t="s">
        <v>133</v>
      </c>
      <c r="F43" s="9">
        <v>191</v>
      </c>
      <c r="G43" s="17" t="s">
        <v>199</v>
      </c>
      <c r="H43" s="22">
        <v>2.21</v>
      </c>
      <c r="I43" s="17" t="s">
        <v>199</v>
      </c>
      <c r="J43" s="17" t="s">
        <v>199</v>
      </c>
      <c r="K43" s="20">
        <f t="shared" si="0"/>
        <v>3.5</v>
      </c>
      <c r="L43" s="22">
        <v>0.5</v>
      </c>
      <c r="M43" s="22">
        <v>4</v>
      </c>
      <c r="U43" s="21" t="s">
        <v>61</v>
      </c>
      <c r="V43" s="9" t="s">
        <v>39</v>
      </c>
      <c r="W43" s="9" t="s">
        <v>153</v>
      </c>
    </row>
    <row r="44" spans="1:23" s="17" customFormat="1" x14ac:dyDescent="0.2">
      <c r="B44" s="18" t="s">
        <v>69</v>
      </c>
      <c r="C44" s="19" t="s">
        <v>61</v>
      </c>
      <c r="D44" s="17" t="s">
        <v>126</v>
      </c>
      <c r="E44" s="17" t="s">
        <v>116</v>
      </c>
      <c r="F44" s="17">
        <v>24</v>
      </c>
      <c r="G44" s="17" t="s">
        <v>199</v>
      </c>
      <c r="H44" s="20">
        <v>1.44</v>
      </c>
      <c r="I44" s="17" t="s">
        <v>199</v>
      </c>
      <c r="J44" s="17" t="s">
        <v>199</v>
      </c>
      <c r="K44" s="20">
        <f t="shared" si="0"/>
        <v>2.6999999999999997</v>
      </c>
      <c r="L44" s="20">
        <v>0.1</v>
      </c>
      <c r="M44" s="20">
        <v>2.8</v>
      </c>
      <c r="U44" s="19" t="s">
        <v>61</v>
      </c>
      <c r="V44" s="17" t="s">
        <v>39</v>
      </c>
      <c r="W44" s="17" t="s">
        <v>154</v>
      </c>
    </row>
    <row r="45" spans="1:23" s="9" customFormat="1" x14ac:dyDescent="0.2">
      <c r="B45" s="8" t="s">
        <v>69</v>
      </c>
      <c r="C45" s="21" t="s">
        <v>61</v>
      </c>
      <c r="D45" s="9" t="s">
        <v>127</v>
      </c>
      <c r="E45" s="9" t="s">
        <v>117</v>
      </c>
      <c r="F45" s="9">
        <v>292</v>
      </c>
      <c r="G45" s="17" t="s">
        <v>199</v>
      </c>
      <c r="H45" s="22">
        <v>1.53</v>
      </c>
      <c r="I45" s="17" t="s">
        <v>199</v>
      </c>
      <c r="J45" s="17" t="s">
        <v>199</v>
      </c>
      <c r="K45" s="20">
        <f t="shared" si="0"/>
        <v>2.1</v>
      </c>
      <c r="L45" s="22">
        <v>0.6</v>
      </c>
      <c r="M45" s="22">
        <v>2.7</v>
      </c>
      <c r="U45" s="21" t="s">
        <v>61</v>
      </c>
      <c r="V45" s="9" t="s">
        <v>39</v>
      </c>
      <c r="W45" s="9" t="s">
        <v>155</v>
      </c>
    </row>
    <row r="46" spans="1:23" s="17" customFormat="1" x14ac:dyDescent="0.2">
      <c r="B46" s="18" t="s">
        <v>69</v>
      </c>
      <c r="C46" s="19" t="s">
        <v>61</v>
      </c>
      <c r="D46" s="17" t="s">
        <v>128</v>
      </c>
      <c r="E46" s="17" t="s">
        <v>136</v>
      </c>
      <c r="F46" s="17">
        <v>648</v>
      </c>
      <c r="G46" s="17" t="s">
        <v>199</v>
      </c>
      <c r="H46" s="20">
        <v>0.95</v>
      </c>
      <c r="I46" s="17" t="s">
        <v>199</v>
      </c>
      <c r="J46" s="17" t="s">
        <v>199</v>
      </c>
      <c r="K46" s="20">
        <f t="shared" si="0"/>
        <v>1.2999999999999998</v>
      </c>
      <c r="L46" s="20">
        <v>0.4</v>
      </c>
      <c r="M46" s="20">
        <v>1.7</v>
      </c>
      <c r="U46" s="19" t="s">
        <v>61</v>
      </c>
      <c r="V46" s="17" t="s">
        <v>39</v>
      </c>
      <c r="W46" s="17" t="s">
        <v>156</v>
      </c>
    </row>
    <row r="47" spans="1:23" s="17" customFormat="1" x14ac:dyDescent="0.2">
      <c r="B47" s="18" t="s">
        <v>69</v>
      </c>
      <c r="C47" s="19" t="s">
        <v>61</v>
      </c>
      <c r="D47" s="17" t="s">
        <v>51</v>
      </c>
      <c r="E47" s="17" t="s">
        <v>8</v>
      </c>
      <c r="F47" s="17">
        <v>487</v>
      </c>
      <c r="G47" s="17" t="s">
        <v>199</v>
      </c>
      <c r="H47" s="20">
        <v>2.29</v>
      </c>
      <c r="I47" s="17" t="s">
        <v>199</v>
      </c>
      <c r="J47" s="17" t="s">
        <v>199</v>
      </c>
      <c r="K47" s="20">
        <f t="shared" si="0"/>
        <v>3.7500000000000004</v>
      </c>
      <c r="L47" s="20">
        <v>0.65</v>
      </c>
      <c r="M47" s="20">
        <v>4.4000000000000004</v>
      </c>
      <c r="U47" s="19" t="s">
        <v>61</v>
      </c>
      <c r="V47" s="17" t="s">
        <v>39</v>
      </c>
      <c r="W47" s="17" t="s">
        <v>157</v>
      </c>
    </row>
    <row r="48" spans="1:23" s="17" customFormat="1" x14ac:dyDescent="0.2">
      <c r="B48" s="18" t="s">
        <v>69</v>
      </c>
      <c r="C48" s="19" t="s">
        <v>61</v>
      </c>
      <c r="D48" s="17" t="s">
        <v>48</v>
      </c>
      <c r="E48" s="17" t="s">
        <v>9</v>
      </c>
      <c r="F48" s="17">
        <v>1262</v>
      </c>
      <c r="G48" s="17" t="s">
        <v>199</v>
      </c>
      <c r="H48" s="20">
        <v>2.4700000000000002</v>
      </c>
      <c r="I48" s="17" t="s">
        <v>199</v>
      </c>
      <c r="J48" s="17" t="s">
        <v>199</v>
      </c>
      <c r="K48" s="20">
        <f t="shared" si="0"/>
        <v>5.6499999999999995</v>
      </c>
      <c r="L48" s="20">
        <v>0.9</v>
      </c>
      <c r="M48" s="20">
        <v>6.55</v>
      </c>
      <c r="U48" s="19" t="s">
        <v>61</v>
      </c>
      <c r="V48" s="17" t="s">
        <v>39</v>
      </c>
      <c r="W48" s="17" t="s">
        <v>158</v>
      </c>
    </row>
    <row r="49" spans="1:23" s="9" customFormat="1" x14ac:dyDescent="0.2">
      <c r="B49" s="8" t="s">
        <v>69</v>
      </c>
      <c r="C49" s="21" t="s">
        <v>61</v>
      </c>
      <c r="D49" s="9" t="s">
        <v>49</v>
      </c>
      <c r="E49" s="9" t="s">
        <v>10</v>
      </c>
      <c r="F49" s="9">
        <v>377</v>
      </c>
      <c r="G49" s="17" t="s">
        <v>199</v>
      </c>
      <c r="H49" s="22">
        <v>2.0699999999999998</v>
      </c>
      <c r="I49" s="17" t="s">
        <v>199</v>
      </c>
      <c r="J49" s="17" t="s">
        <v>199</v>
      </c>
      <c r="K49" s="20">
        <f t="shared" si="0"/>
        <v>3.7</v>
      </c>
      <c r="L49" s="22">
        <v>0.55000000000000004</v>
      </c>
      <c r="M49" s="22">
        <v>4.25</v>
      </c>
      <c r="U49" s="21" t="s">
        <v>61</v>
      </c>
      <c r="V49" s="9" t="s">
        <v>39</v>
      </c>
      <c r="W49" s="9" t="s">
        <v>159</v>
      </c>
    </row>
    <row r="50" spans="1:23" s="17" customFormat="1" x14ac:dyDescent="0.2">
      <c r="B50" s="18" t="s">
        <v>69</v>
      </c>
      <c r="C50" s="19" t="s">
        <v>61</v>
      </c>
      <c r="D50" s="17" t="s">
        <v>50</v>
      </c>
      <c r="E50" s="17" t="s">
        <v>11</v>
      </c>
      <c r="F50" s="17">
        <v>97</v>
      </c>
      <c r="G50" s="17" t="s">
        <v>199</v>
      </c>
      <c r="H50" s="20">
        <v>0.28999999999999998</v>
      </c>
      <c r="I50" s="17" t="s">
        <v>199</v>
      </c>
      <c r="J50" s="17" t="s">
        <v>199</v>
      </c>
      <c r="K50" s="20">
        <f t="shared" si="0"/>
        <v>1.45</v>
      </c>
      <c r="L50" s="20">
        <v>0.05</v>
      </c>
      <c r="M50" s="20">
        <v>1.5</v>
      </c>
      <c r="U50" s="19" t="s">
        <v>61</v>
      </c>
      <c r="V50" s="17" t="s">
        <v>39</v>
      </c>
      <c r="W50" s="17" t="s">
        <v>160</v>
      </c>
    </row>
    <row r="51" spans="1:23" s="23" customFormat="1" x14ac:dyDescent="0.2">
      <c r="B51" s="24" t="s">
        <v>69</v>
      </c>
      <c r="C51" s="25" t="s">
        <v>61</v>
      </c>
      <c r="D51" s="23" t="s">
        <v>139</v>
      </c>
      <c r="E51" s="23" t="s">
        <v>138</v>
      </c>
      <c r="F51" s="23">
        <v>70</v>
      </c>
      <c r="G51" s="17" t="s">
        <v>199</v>
      </c>
      <c r="H51" s="26">
        <v>4</v>
      </c>
      <c r="I51" s="17" t="s">
        <v>199</v>
      </c>
      <c r="J51" s="17" t="s">
        <v>199</v>
      </c>
      <c r="K51" s="20">
        <f t="shared" si="0"/>
        <v>5.75</v>
      </c>
      <c r="L51" s="26">
        <v>1.4</v>
      </c>
      <c r="M51" s="26">
        <v>7.15</v>
      </c>
      <c r="U51" s="25" t="s">
        <v>61</v>
      </c>
      <c r="V51" s="23" t="s">
        <v>39</v>
      </c>
      <c r="W51" s="23" t="s">
        <v>161</v>
      </c>
    </row>
    <row r="52" spans="1:23" s="9" customFormat="1" x14ac:dyDescent="0.2">
      <c r="B52" s="8" t="s">
        <v>69</v>
      </c>
      <c r="C52" s="21" t="s">
        <v>61</v>
      </c>
      <c r="D52" s="9" t="s">
        <v>141</v>
      </c>
      <c r="E52" s="9" t="s">
        <v>134</v>
      </c>
      <c r="F52" s="9">
        <v>346</v>
      </c>
      <c r="G52" s="17" t="s">
        <v>199</v>
      </c>
      <c r="H52" s="22">
        <v>2.0299999999999998</v>
      </c>
      <c r="I52" s="17" t="s">
        <v>199</v>
      </c>
      <c r="J52" s="17" t="s">
        <v>199</v>
      </c>
      <c r="K52" s="20">
        <f t="shared" si="0"/>
        <v>2.95</v>
      </c>
      <c r="L52" s="22">
        <v>0.8</v>
      </c>
      <c r="M52" s="22">
        <v>3.75</v>
      </c>
      <c r="U52" s="21" t="s">
        <v>61</v>
      </c>
      <c r="V52" s="9" t="s">
        <v>39</v>
      </c>
      <c r="W52" s="9" t="s">
        <v>162</v>
      </c>
    </row>
    <row r="53" spans="1:23" s="9" customFormat="1" x14ac:dyDescent="0.2">
      <c r="B53" s="8" t="s">
        <v>69</v>
      </c>
      <c r="C53" s="21" t="s">
        <v>61</v>
      </c>
      <c r="D53" s="9" t="s">
        <v>54</v>
      </c>
      <c r="E53" s="9" t="s">
        <v>29</v>
      </c>
      <c r="F53" s="9">
        <v>242</v>
      </c>
      <c r="G53" s="17" t="s">
        <v>199</v>
      </c>
      <c r="H53" s="22">
        <v>2.04</v>
      </c>
      <c r="I53" s="17" t="s">
        <v>199</v>
      </c>
      <c r="J53" s="17" t="s">
        <v>199</v>
      </c>
      <c r="K53" s="20">
        <f t="shared" si="0"/>
        <v>3.35</v>
      </c>
      <c r="L53" s="22">
        <v>0.65</v>
      </c>
      <c r="M53" s="22">
        <v>4</v>
      </c>
      <c r="U53" s="21" t="s">
        <v>61</v>
      </c>
      <c r="V53" s="9" t="s">
        <v>39</v>
      </c>
      <c r="W53" s="9" t="s">
        <v>163</v>
      </c>
    </row>
    <row r="54" spans="1:23" s="17" customFormat="1" x14ac:dyDescent="0.2">
      <c r="B54" s="18" t="s">
        <v>69</v>
      </c>
      <c r="C54" s="19" t="s">
        <v>61</v>
      </c>
      <c r="D54" s="17" t="s">
        <v>140</v>
      </c>
      <c r="E54" s="17" t="s">
        <v>135</v>
      </c>
      <c r="F54" s="17">
        <v>115</v>
      </c>
      <c r="G54" s="17" t="s">
        <v>199</v>
      </c>
      <c r="H54" s="20">
        <v>2.46</v>
      </c>
      <c r="I54" s="17" t="s">
        <v>199</v>
      </c>
      <c r="J54" s="17" t="s">
        <v>199</v>
      </c>
      <c r="K54" s="20">
        <f t="shared" si="0"/>
        <v>4.8499999999999996</v>
      </c>
      <c r="L54" s="20">
        <v>0.9</v>
      </c>
      <c r="M54" s="20">
        <v>5.75</v>
      </c>
      <c r="U54" s="19" t="s">
        <v>61</v>
      </c>
      <c r="V54" s="17" t="s">
        <v>39</v>
      </c>
      <c r="W54" s="17" t="s">
        <v>164</v>
      </c>
    </row>
    <row r="55" spans="1:23" s="17" customFormat="1" x14ac:dyDescent="0.2">
      <c r="A55" t="s">
        <v>122</v>
      </c>
      <c r="B55" s="18"/>
      <c r="C55" s="19"/>
      <c r="H55" s="20"/>
      <c r="K55" s="20"/>
      <c r="L55" s="20"/>
      <c r="M55" s="20"/>
      <c r="U55" s="19"/>
    </row>
    <row r="56" spans="1:23" s="23" customFormat="1" x14ac:dyDescent="0.2">
      <c r="B56" s="24" t="s">
        <v>69</v>
      </c>
      <c r="C56" s="25" t="s">
        <v>61</v>
      </c>
      <c r="D56" s="23" t="s">
        <v>196</v>
      </c>
      <c r="F56" s="23">
        <f>F51+F40</f>
        <v>147</v>
      </c>
      <c r="G56" s="17" t="s">
        <v>199</v>
      </c>
      <c r="H56" s="26"/>
      <c r="I56" s="17" t="s">
        <v>199</v>
      </c>
      <c r="J56" s="17" t="s">
        <v>199</v>
      </c>
      <c r="K56" s="20">
        <f t="shared" si="0"/>
        <v>6.15</v>
      </c>
      <c r="L56" s="26">
        <v>1</v>
      </c>
      <c r="M56" s="26">
        <v>7.15</v>
      </c>
      <c r="U56" s="25" t="s">
        <v>61</v>
      </c>
      <c r="V56" s="23" t="s">
        <v>39</v>
      </c>
      <c r="W56" s="23" t="s">
        <v>197</v>
      </c>
    </row>
    <row r="57" spans="1:23" s="9" customFormat="1" x14ac:dyDescent="0.2">
      <c r="B57" s="8" t="s">
        <v>69</v>
      </c>
      <c r="C57" s="21" t="s">
        <v>61</v>
      </c>
      <c r="D57" s="9" t="s">
        <v>142</v>
      </c>
      <c r="F57" s="9">
        <f>F53+F52+F49+F45+F43+F42</f>
        <v>1467</v>
      </c>
      <c r="G57" s="17" t="s">
        <v>199</v>
      </c>
      <c r="H57" s="22"/>
      <c r="I57" s="17" t="s">
        <v>199</v>
      </c>
      <c r="J57" s="17" t="s">
        <v>199</v>
      </c>
      <c r="K57" s="20">
        <f t="shared" si="0"/>
        <v>3.75</v>
      </c>
      <c r="L57" s="22">
        <v>0.5</v>
      </c>
      <c r="M57" s="22">
        <v>4.25</v>
      </c>
      <c r="U57" s="21" t="s">
        <v>61</v>
      </c>
      <c r="V57" s="9" t="s">
        <v>39</v>
      </c>
      <c r="W57" s="9" t="s">
        <v>198</v>
      </c>
    </row>
    <row r="58" spans="1:23" x14ac:dyDescent="0.2">
      <c r="A58" t="s">
        <v>122</v>
      </c>
      <c r="B58" s="2"/>
      <c r="C58" s="4"/>
      <c r="U58" s="4"/>
    </row>
    <row r="59" spans="1:23" x14ac:dyDescent="0.2">
      <c r="A59" t="s">
        <v>122</v>
      </c>
      <c r="B59" s="3" t="s">
        <v>25</v>
      </c>
      <c r="C59" s="2"/>
      <c r="D59" s="2"/>
      <c r="U59" s="2"/>
      <c r="V59" s="2"/>
    </row>
    <row r="60" spans="1:23" x14ac:dyDescent="0.2">
      <c r="B60" s="2" t="s">
        <v>25</v>
      </c>
      <c r="C60" s="4" t="s">
        <v>62</v>
      </c>
      <c r="D60" t="s">
        <v>52</v>
      </c>
      <c r="E60" t="s">
        <v>27</v>
      </c>
      <c r="F60">
        <v>153</v>
      </c>
      <c r="H60">
        <v>3.07</v>
      </c>
      <c r="L60">
        <v>2.2999999999999998</v>
      </c>
      <c r="M60">
        <v>3.6</v>
      </c>
      <c r="U60" s="4" t="s">
        <v>62</v>
      </c>
      <c r="V60" t="s">
        <v>40</v>
      </c>
      <c r="W60" t="s">
        <v>31</v>
      </c>
    </row>
    <row r="61" spans="1:23" x14ac:dyDescent="0.2">
      <c r="B61" s="2" t="s">
        <v>25</v>
      </c>
      <c r="C61" s="4" t="s">
        <v>62</v>
      </c>
      <c r="D61" t="s">
        <v>51</v>
      </c>
      <c r="E61" t="s">
        <v>8</v>
      </c>
      <c r="F61">
        <v>445</v>
      </c>
      <c r="H61">
        <v>3.44</v>
      </c>
      <c r="L61">
        <v>1.3</v>
      </c>
      <c r="M61">
        <v>6.26</v>
      </c>
      <c r="U61" s="4" t="s">
        <v>62</v>
      </c>
      <c r="V61" t="s">
        <v>40</v>
      </c>
      <c r="W61" t="s">
        <v>31</v>
      </c>
    </row>
    <row r="62" spans="1:23" x14ac:dyDescent="0.2">
      <c r="A62" t="s">
        <v>122</v>
      </c>
      <c r="B62" s="2"/>
      <c r="C62" s="4"/>
      <c r="U62" s="4"/>
    </row>
    <row r="63" spans="1:23" x14ac:dyDescent="0.2">
      <c r="A63" t="s">
        <v>122</v>
      </c>
      <c r="B63" s="3" t="s">
        <v>84</v>
      </c>
    </row>
    <row r="64" spans="1:23" x14ac:dyDescent="0.2">
      <c r="B64" s="2" t="s">
        <v>84</v>
      </c>
      <c r="C64" t="s">
        <v>63</v>
      </c>
      <c r="D64" t="s">
        <v>51</v>
      </c>
      <c r="E64" t="s">
        <v>8</v>
      </c>
      <c r="F64">
        <v>6</v>
      </c>
      <c r="H64">
        <v>2.8</v>
      </c>
      <c r="L64">
        <v>2.17</v>
      </c>
      <c r="M64">
        <v>3.05</v>
      </c>
      <c r="U64" t="s">
        <v>63</v>
      </c>
      <c r="V64" t="s">
        <v>40</v>
      </c>
      <c r="W64" t="s">
        <v>31</v>
      </c>
    </row>
    <row r="65" spans="1:23" x14ac:dyDescent="0.2">
      <c r="B65" s="2" t="s">
        <v>84</v>
      </c>
      <c r="C65" t="s">
        <v>63</v>
      </c>
      <c r="D65" t="s">
        <v>53</v>
      </c>
      <c r="E65" t="s">
        <v>28</v>
      </c>
      <c r="F65">
        <v>3</v>
      </c>
      <c r="H65">
        <v>2.0099999999999998</v>
      </c>
      <c r="L65">
        <v>1.63</v>
      </c>
      <c r="M65">
        <v>2.38</v>
      </c>
      <c r="U65" t="s">
        <v>63</v>
      </c>
      <c r="V65" t="s">
        <v>40</v>
      </c>
      <c r="W65" t="s">
        <v>31</v>
      </c>
    </row>
    <row r="66" spans="1:23" x14ac:dyDescent="0.2">
      <c r="B66" s="2" t="s">
        <v>84</v>
      </c>
      <c r="C66" t="s">
        <v>63</v>
      </c>
      <c r="D66" t="s">
        <v>48</v>
      </c>
      <c r="E66" t="s">
        <v>9</v>
      </c>
      <c r="F66">
        <v>11</v>
      </c>
      <c r="H66">
        <v>3.72</v>
      </c>
      <c r="L66">
        <v>1.88</v>
      </c>
      <c r="M66">
        <v>4.9800000000000004</v>
      </c>
      <c r="U66" t="s">
        <v>63</v>
      </c>
      <c r="V66" t="s">
        <v>40</v>
      </c>
      <c r="W66" t="s">
        <v>31</v>
      </c>
    </row>
    <row r="67" spans="1:23" x14ac:dyDescent="0.2">
      <c r="B67" s="2" t="s">
        <v>84</v>
      </c>
      <c r="C67" t="s">
        <v>63</v>
      </c>
      <c r="D67" t="s">
        <v>49</v>
      </c>
      <c r="E67" t="s">
        <v>10</v>
      </c>
      <c r="F67">
        <v>5</v>
      </c>
      <c r="H67">
        <v>2.09</v>
      </c>
      <c r="L67">
        <v>1.63</v>
      </c>
      <c r="M67">
        <v>2.5099999999999998</v>
      </c>
      <c r="U67" t="s">
        <v>63</v>
      </c>
      <c r="V67" t="s">
        <v>40</v>
      </c>
      <c r="W67" t="s">
        <v>31</v>
      </c>
    </row>
    <row r="68" spans="1:23" x14ac:dyDescent="0.2">
      <c r="B68" s="2" t="s">
        <v>84</v>
      </c>
      <c r="C68" t="s">
        <v>63</v>
      </c>
      <c r="D68" t="s">
        <v>54</v>
      </c>
      <c r="E68" t="s">
        <v>29</v>
      </c>
      <c r="F68">
        <v>3</v>
      </c>
      <c r="H68">
        <v>2.68</v>
      </c>
      <c r="L68">
        <v>2.4700000000000002</v>
      </c>
      <c r="M68">
        <v>2.84</v>
      </c>
      <c r="U68" t="s">
        <v>63</v>
      </c>
      <c r="V68" t="s">
        <v>40</v>
      </c>
      <c r="W68" t="s">
        <v>31</v>
      </c>
    </row>
    <row r="69" spans="1:23" x14ac:dyDescent="0.2">
      <c r="A69" t="s">
        <v>122</v>
      </c>
      <c r="B69" s="2"/>
    </row>
    <row r="70" spans="1:23" s="6" customFormat="1" x14ac:dyDescent="0.2">
      <c r="A70" t="s">
        <v>122</v>
      </c>
      <c r="B70" s="13" t="s">
        <v>30</v>
      </c>
      <c r="C70" s="7"/>
      <c r="D70" s="7"/>
      <c r="U70" s="7"/>
      <c r="V70" s="7"/>
    </row>
    <row r="71" spans="1:23" s="6" customFormat="1" x14ac:dyDescent="0.2">
      <c r="B71" s="7" t="s">
        <v>30</v>
      </c>
      <c r="C71" s="6" t="s">
        <v>64</v>
      </c>
      <c r="D71" s="6" t="s">
        <v>52</v>
      </c>
      <c r="E71" s="6" t="s">
        <v>7</v>
      </c>
      <c r="F71" s="6">
        <v>396</v>
      </c>
      <c r="H71" s="6">
        <v>3.5</v>
      </c>
      <c r="I71" s="6">
        <v>0.37</v>
      </c>
      <c r="U71" s="6" t="s">
        <v>64</v>
      </c>
      <c r="V71" s="6" t="s">
        <v>40</v>
      </c>
      <c r="W71" s="6" t="s">
        <v>32</v>
      </c>
    </row>
    <row r="72" spans="1:23" s="14" customFormat="1" x14ac:dyDescent="0.2">
      <c r="A72" t="s">
        <v>122</v>
      </c>
      <c r="B72" s="15"/>
    </row>
    <row r="73" spans="1:23" x14ac:dyDescent="0.2">
      <c r="A73" t="s">
        <v>122</v>
      </c>
      <c r="B73" s="3" t="s">
        <v>70</v>
      </c>
    </row>
    <row r="74" spans="1:23" x14ac:dyDescent="0.2">
      <c r="B74" s="2" t="s">
        <v>70</v>
      </c>
      <c r="C74" t="s">
        <v>71</v>
      </c>
      <c r="D74" t="s">
        <v>52</v>
      </c>
      <c r="E74" t="s">
        <v>7</v>
      </c>
      <c r="F74">
        <v>171</v>
      </c>
      <c r="H74">
        <v>3.62</v>
      </c>
      <c r="I74">
        <v>0.3</v>
      </c>
      <c r="U74" t="s">
        <v>71</v>
      </c>
      <c r="V74" t="s">
        <v>40</v>
      </c>
      <c r="W74" t="s">
        <v>72</v>
      </c>
    </row>
    <row r="75" spans="1:23" x14ac:dyDescent="0.2">
      <c r="B75" s="2" t="s">
        <v>70</v>
      </c>
      <c r="C75" t="s">
        <v>71</v>
      </c>
      <c r="D75" t="s">
        <v>77</v>
      </c>
      <c r="E75" t="s">
        <v>73</v>
      </c>
      <c r="F75">
        <v>59</v>
      </c>
      <c r="H75">
        <v>3.35</v>
      </c>
      <c r="I75">
        <v>0.03</v>
      </c>
      <c r="U75" t="s">
        <v>71</v>
      </c>
      <c r="V75" t="s">
        <v>40</v>
      </c>
      <c r="W75" t="s">
        <v>82</v>
      </c>
    </row>
    <row r="76" spans="1:23" x14ac:dyDescent="0.2">
      <c r="B76" s="2" t="s">
        <v>70</v>
      </c>
      <c r="C76" t="s">
        <v>71</v>
      </c>
      <c r="D76" t="s">
        <v>78</v>
      </c>
      <c r="E76" t="s">
        <v>74</v>
      </c>
      <c r="F76">
        <v>22</v>
      </c>
      <c r="H76">
        <v>2.29</v>
      </c>
      <c r="I76">
        <v>0.09</v>
      </c>
      <c r="U76" t="s">
        <v>71</v>
      </c>
      <c r="V76" t="s">
        <v>40</v>
      </c>
      <c r="W76" t="s">
        <v>83</v>
      </c>
    </row>
    <row r="77" spans="1:23" x14ac:dyDescent="0.2">
      <c r="B77" s="2" t="s">
        <v>70</v>
      </c>
      <c r="C77" t="s">
        <v>71</v>
      </c>
      <c r="D77" t="s">
        <v>79</v>
      </c>
      <c r="E77" t="s">
        <v>75</v>
      </c>
      <c r="F77">
        <v>6</v>
      </c>
      <c r="H77">
        <v>2.34</v>
      </c>
      <c r="I77">
        <v>0.08</v>
      </c>
      <c r="U77" t="s">
        <v>71</v>
      </c>
      <c r="V77" t="s">
        <v>40</v>
      </c>
    </row>
    <row r="78" spans="1:23" x14ac:dyDescent="0.2">
      <c r="B78" s="2" t="s">
        <v>70</v>
      </c>
      <c r="C78" t="s">
        <v>71</v>
      </c>
      <c r="D78" t="s">
        <v>80</v>
      </c>
      <c r="E78" t="s">
        <v>76</v>
      </c>
      <c r="F78">
        <v>47</v>
      </c>
      <c r="H78">
        <v>1.93</v>
      </c>
      <c r="I78">
        <v>0.17</v>
      </c>
      <c r="U78" t="s">
        <v>71</v>
      </c>
      <c r="V78" t="s">
        <v>40</v>
      </c>
      <c r="W78" t="s">
        <v>81</v>
      </c>
    </row>
    <row r="79" spans="1:23" x14ac:dyDescent="0.2">
      <c r="A79" t="s">
        <v>122</v>
      </c>
      <c r="B79" s="2"/>
    </row>
    <row r="80" spans="1:23" x14ac:dyDescent="0.2">
      <c r="A80" t="s">
        <v>122</v>
      </c>
      <c r="B80" s="3" t="s">
        <v>85</v>
      </c>
      <c r="C80" s="2"/>
      <c r="D80" s="2"/>
      <c r="E80" s="2"/>
      <c r="U80" s="2"/>
      <c r="V80" s="2"/>
    </row>
    <row r="81" spans="1:23" x14ac:dyDescent="0.2">
      <c r="B81" s="2" t="s">
        <v>85</v>
      </c>
      <c r="C81" t="s">
        <v>65</v>
      </c>
      <c r="D81" t="s">
        <v>51</v>
      </c>
      <c r="E81" t="s">
        <v>8</v>
      </c>
      <c r="L81">
        <v>1.7</v>
      </c>
      <c r="M81">
        <v>3.3</v>
      </c>
      <c r="U81" t="s">
        <v>65</v>
      </c>
      <c r="V81" t="s">
        <v>40</v>
      </c>
      <c r="W81" t="s">
        <v>33</v>
      </c>
    </row>
    <row r="82" spans="1:23" x14ac:dyDescent="0.2">
      <c r="B82" s="2" t="s">
        <v>85</v>
      </c>
      <c r="C82" t="s">
        <v>65</v>
      </c>
      <c r="D82" t="s">
        <v>48</v>
      </c>
      <c r="E82" t="s">
        <v>9</v>
      </c>
      <c r="L82">
        <v>1.2</v>
      </c>
      <c r="M82">
        <v>4.2</v>
      </c>
      <c r="U82" t="s">
        <v>65</v>
      </c>
      <c r="V82" t="s">
        <v>40</v>
      </c>
      <c r="W82" t="s">
        <v>33</v>
      </c>
    </row>
    <row r="83" spans="1:23" x14ac:dyDescent="0.2">
      <c r="B83" s="2" t="s">
        <v>85</v>
      </c>
      <c r="C83" t="s">
        <v>65</v>
      </c>
      <c r="D83" t="s">
        <v>49</v>
      </c>
      <c r="E83" t="s">
        <v>10</v>
      </c>
      <c r="L83">
        <v>0.8</v>
      </c>
      <c r="M83">
        <v>2.1</v>
      </c>
      <c r="U83" t="s">
        <v>65</v>
      </c>
      <c r="V83" t="s">
        <v>40</v>
      </c>
      <c r="W83" t="s">
        <v>33</v>
      </c>
    </row>
    <row r="84" spans="1:23" x14ac:dyDescent="0.2">
      <c r="A84" t="s">
        <v>122</v>
      </c>
      <c r="B84" s="2"/>
    </row>
    <row r="85" spans="1:23" x14ac:dyDescent="0.2">
      <c r="A85" t="s">
        <v>122</v>
      </c>
      <c r="B85" s="3" t="s">
        <v>34</v>
      </c>
    </row>
    <row r="86" spans="1:23" x14ac:dyDescent="0.2">
      <c r="B86" s="2" t="s">
        <v>34</v>
      </c>
      <c r="C86" t="s">
        <v>66</v>
      </c>
      <c r="E86" s="4" t="s">
        <v>112</v>
      </c>
      <c r="U86" t="s">
        <v>66</v>
      </c>
      <c r="V86" t="s">
        <v>40</v>
      </c>
      <c r="W86" t="s">
        <v>36</v>
      </c>
    </row>
    <row r="87" spans="1:23" x14ac:dyDescent="0.2">
      <c r="B87" s="2" t="s">
        <v>34</v>
      </c>
      <c r="C87" t="s">
        <v>66</v>
      </c>
      <c r="E87" s="4" t="s">
        <v>113</v>
      </c>
      <c r="U87" t="s">
        <v>66</v>
      </c>
      <c r="V87" t="s">
        <v>40</v>
      </c>
      <c r="W87" t="s">
        <v>36</v>
      </c>
    </row>
    <row r="88" spans="1:23" x14ac:dyDescent="0.2">
      <c r="B88" s="2" t="s">
        <v>34</v>
      </c>
      <c r="C88" t="s">
        <v>66</v>
      </c>
      <c r="E88" s="4" t="s">
        <v>119</v>
      </c>
      <c r="U88" t="s">
        <v>66</v>
      </c>
      <c r="V88" t="s">
        <v>40</v>
      </c>
      <c r="W88" t="s">
        <v>36</v>
      </c>
    </row>
    <row r="89" spans="1:23" x14ac:dyDescent="0.2">
      <c r="B89" s="2" t="s">
        <v>34</v>
      </c>
      <c r="C89" t="s">
        <v>66</v>
      </c>
      <c r="E89" s="4" t="s">
        <v>120</v>
      </c>
      <c r="U89" t="s">
        <v>66</v>
      </c>
      <c r="V89" t="s">
        <v>40</v>
      </c>
      <c r="W89" t="s">
        <v>36</v>
      </c>
    </row>
    <row r="90" spans="1:23" x14ac:dyDescent="0.2">
      <c r="B90" s="2" t="s">
        <v>34</v>
      </c>
      <c r="C90" t="s">
        <v>66</v>
      </c>
      <c r="E90" s="4" t="s">
        <v>11</v>
      </c>
      <c r="U90" t="s">
        <v>66</v>
      </c>
      <c r="V90" t="s">
        <v>40</v>
      </c>
      <c r="W90" t="s">
        <v>36</v>
      </c>
    </row>
    <row r="91" spans="1:23" x14ac:dyDescent="0.2">
      <c r="B91" s="2" t="s">
        <v>34</v>
      </c>
      <c r="C91" t="s">
        <v>66</v>
      </c>
      <c r="D91" t="s">
        <v>51</v>
      </c>
      <c r="E91" t="s">
        <v>8</v>
      </c>
      <c r="L91">
        <v>2.5</v>
      </c>
      <c r="M91">
        <v>3.1</v>
      </c>
      <c r="U91" t="s">
        <v>66</v>
      </c>
      <c r="V91" t="s">
        <v>40</v>
      </c>
      <c r="W91" t="s">
        <v>36</v>
      </c>
    </row>
    <row r="92" spans="1:23" x14ac:dyDescent="0.2">
      <c r="B92" s="2" t="s">
        <v>34</v>
      </c>
      <c r="C92" t="s">
        <v>66</v>
      </c>
      <c r="D92" t="s">
        <v>48</v>
      </c>
      <c r="E92" t="s">
        <v>9</v>
      </c>
      <c r="L92">
        <v>2.5</v>
      </c>
      <c r="M92">
        <v>4.2</v>
      </c>
      <c r="U92" t="s">
        <v>66</v>
      </c>
      <c r="V92" t="s">
        <v>40</v>
      </c>
      <c r="W92" t="s">
        <v>36</v>
      </c>
    </row>
    <row r="93" spans="1:23" x14ac:dyDescent="0.2">
      <c r="B93" s="2" t="s">
        <v>34</v>
      </c>
      <c r="C93" t="s">
        <v>66</v>
      </c>
      <c r="D93" t="s">
        <v>49</v>
      </c>
      <c r="E93" t="s">
        <v>10</v>
      </c>
      <c r="L93">
        <v>0.8</v>
      </c>
      <c r="M93">
        <v>1.25</v>
      </c>
      <c r="U93" t="s">
        <v>66</v>
      </c>
      <c r="V93" t="s">
        <v>40</v>
      </c>
      <c r="W93" t="s">
        <v>36</v>
      </c>
    </row>
    <row r="94" spans="1:23" x14ac:dyDescent="0.2">
      <c r="A94" t="s">
        <v>122</v>
      </c>
    </row>
    <row r="95" spans="1:23" x14ac:dyDescent="0.2">
      <c r="A95" t="s">
        <v>122</v>
      </c>
      <c r="B95" s="3" t="s">
        <v>35</v>
      </c>
    </row>
    <row r="96" spans="1:23" x14ac:dyDescent="0.2">
      <c r="B96" s="2" t="s">
        <v>35</v>
      </c>
      <c r="C96" t="s">
        <v>67</v>
      </c>
      <c r="D96" t="s">
        <v>51</v>
      </c>
      <c r="E96" t="s">
        <v>8</v>
      </c>
      <c r="F96">
        <v>26</v>
      </c>
      <c r="H96">
        <v>2.97</v>
      </c>
      <c r="L96">
        <v>2</v>
      </c>
      <c r="M96">
        <v>4.41</v>
      </c>
      <c r="U96" t="s">
        <v>67</v>
      </c>
      <c r="V96" t="s">
        <v>40</v>
      </c>
      <c r="W96" t="s">
        <v>37</v>
      </c>
    </row>
    <row r="97" spans="1:23" x14ac:dyDescent="0.2">
      <c r="B97" s="2" t="s">
        <v>35</v>
      </c>
      <c r="C97" t="s">
        <v>67</v>
      </c>
      <c r="D97" t="s">
        <v>48</v>
      </c>
      <c r="E97" t="s">
        <v>9</v>
      </c>
      <c r="F97">
        <v>8</v>
      </c>
      <c r="H97">
        <v>2.57</v>
      </c>
      <c r="L97">
        <v>1.56</v>
      </c>
      <c r="M97">
        <v>3.86</v>
      </c>
      <c r="U97" t="s">
        <v>67</v>
      </c>
      <c r="V97" t="s">
        <v>40</v>
      </c>
      <c r="W97" t="s">
        <v>37</v>
      </c>
    </row>
    <row r="98" spans="1:23" x14ac:dyDescent="0.2">
      <c r="A98" t="s">
        <v>122</v>
      </c>
      <c r="B98" s="2"/>
    </row>
    <row r="99" spans="1:23" x14ac:dyDescent="0.2">
      <c r="A99" t="s">
        <v>122</v>
      </c>
      <c r="B99" s="2"/>
    </row>
    <row r="100" spans="1:23" x14ac:dyDescent="0.2">
      <c r="A100" t="s">
        <v>122</v>
      </c>
      <c r="B100" s="2"/>
    </row>
    <row r="101" spans="1:23" x14ac:dyDescent="0.2">
      <c r="A101" t="s">
        <v>122</v>
      </c>
      <c r="B101" s="3" t="s">
        <v>88</v>
      </c>
    </row>
    <row r="102" spans="1:23" s="9" customFormat="1" x14ac:dyDescent="0.2">
      <c r="B102" s="10" t="s">
        <v>86</v>
      </c>
    </row>
    <row r="103" spans="1:23" s="9" customFormat="1" x14ac:dyDescent="0.2">
      <c r="B103" s="8" t="s">
        <v>86</v>
      </c>
      <c r="C103" s="9" t="s">
        <v>68</v>
      </c>
      <c r="D103" s="9" t="s">
        <v>52</v>
      </c>
      <c r="E103" s="9" t="s">
        <v>7</v>
      </c>
      <c r="F103" s="9">
        <v>153</v>
      </c>
      <c r="H103" s="9">
        <v>3.43</v>
      </c>
      <c r="L103" s="9">
        <v>2.2999999999999998</v>
      </c>
      <c r="M103" s="9">
        <v>3.6</v>
      </c>
      <c r="U103" s="9" t="s">
        <v>68</v>
      </c>
      <c r="V103" s="9" t="s">
        <v>40</v>
      </c>
      <c r="W103" s="9" t="s">
        <v>87</v>
      </c>
    </row>
    <row r="104" spans="1:23" s="9" customFormat="1" x14ac:dyDescent="0.2">
      <c r="B104" s="8" t="s">
        <v>86</v>
      </c>
      <c r="C104" s="9" t="s">
        <v>68</v>
      </c>
      <c r="D104" s="9" t="s">
        <v>51</v>
      </c>
      <c r="E104" s="9" t="s">
        <v>8</v>
      </c>
      <c r="F104" s="9">
        <v>445</v>
      </c>
      <c r="H104" s="9">
        <v>3.44</v>
      </c>
      <c r="L104" s="9">
        <v>1.3</v>
      </c>
      <c r="M104" s="9">
        <v>6.26</v>
      </c>
      <c r="U104" s="9" t="s">
        <v>68</v>
      </c>
      <c r="V104" s="9" t="s">
        <v>40</v>
      </c>
    </row>
    <row r="105" spans="1:23" s="9" customFormat="1" x14ac:dyDescent="0.2">
      <c r="B105" s="8" t="s">
        <v>86</v>
      </c>
      <c r="C105" s="9" t="s">
        <v>68</v>
      </c>
      <c r="D105" s="9" t="s">
        <v>48</v>
      </c>
      <c r="E105" s="9" t="s">
        <v>9</v>
      </c>
      <c r="F105" s="9">
        <v>11</v>
      </c>
      <c r="H105" s="9">
        <v>3.72</v>
      </c>
      <c r="L105" s="9">
        <v>1.88</v>
      </c>
      <c r="M105" s="9">
        <v>4.9800000000000004</v>
      </c>
      <c r="U105" s="9" t="s">
        <v>68</v>
      </c>
      <c r="V105" s="9" t="s">
        <v>40</v>
      </c>
    </row>
    <row r="106" spans="1:23" x14ac:dyDescent="0.2">
      <c r="A106" t="s">
        <v>122</v>
      </c>
      <c r="U106" t="s">
        <v>26</v>
      </c>
    </row>
    <row r="107" spans="1:23" x14ac:dyDescent="0.2">
      <c r="A107" t="s">
        <v>122</v>
      </c>
    </row>
    <row r="108" spans="1:23" s="9" customFormat="1" x14ac:dyDescent="0.2">
      <c r="B108" s="8" t="s">
        <v>99</v>
      </c>
      <c r="C108" s="9" t="s">
        <v>100</v>
      </c>
      <c r="V108" s="9" t="s">
        <v>40</v>
      </c>
    </row>
    <row r="109" spans="1:23" x14ac:dyDescent="0.2">
      <c r="B109" s="11" t="s">
        <v>6</v>
      </c>
    </row>
    <row r="112" spans="1:23" x14ac:dyDescent="0.2">
      <c r="B112" s="3"/>
      <c r="C112" s="3"/>
      <c r="D112" s="3"/>
      <c r="V112" s="2"/>
    </row>
    <row r="113" spans="1:23" x14ac:dyDescent="0.2">
      <c r="B113" s="2"/>
      <c r="C113" s="2"/>
      <c r="D113" s="2"/>
      <c r="V113" s="2"/>
    </row>
    <row r="114" spans="1:23" x14ac:dyDescent="0.2">
      <c r="A114" t="s">
        <v>122</v>
      </c>
      <c r="B114" s="3" t="s">
        <v>132</v>
      </c>
      <c r="C114" s="4"/>
      <c r="D114" s="2"/>
      <c r="U114" s="4"/>
      <c r="V114" s="2"/>
      <c r="W114" s="1"/>
    </row>
    <row r="115" spans="1:23" x14ac:dyDescent="0.2">
      <c r="B115" s="2" t="s">
        <v>69</v>
      </c>
      <c r="C115" s="4" t="s">
        <v>61</v>
      </c>
      <c r="D115" t="s">
        <v>52</v>
      </c>
      <c r="E115" t="s">
        <v>7</v>
      </c>
      <c r="F115">
        <v>356</v>
      </c>
      <c r="H115">
        <v>3.05</v>
      </c>
      <c r="L115">
        <v>1.25</v>
      </c>
      <c r="M115">
        <v>4.45</v>
      </c>
      <c r="U115" s="4" t="s">
        <v>61</v>
      </c>
      <c r="V115" t="s">
        <v>40</v>
      </c>
      <c r="W115" t="s">
        <v>102</v>
      </c>
    </row>
    <row r="116" spans="1:23" x14ac:dyDescent="0.2">
      <c r="B116" s="2" t="s">
        <v>69</v>
      </c>
      <c r="C116" s="4" t="s">
        <v>61</v>
      </c>
      <c r="E116" t="s">
        <v>73</v>
      </c>
      <c r="U116" s="4" t="s">
        <v>61</v>
      </c>
      <c r="V116" t="s">
        <v>40</v>
      </c>
      <c r="W116" t="s">
        <v>102</v>
      </c>
    </row>
    <row r="117" spans="1:23" x14ac:dyDescent="0.2">
      <c r="B117" s="2" t="s">
        <v>69</v>
      </c>
      <c r="C117" s="4" t="s">
        <v>61</v>
      </c>
      <c r="E117" t="s">
        <v>103</v>
      </c>
      <c r="U117" s="4" t="s">
        <v>61</v>
      </c>
      <c r="V117" t="s">
        <v>40</v>
      </c>
      <c r="W117" t="s">
        <v>102</v>
      </c>
    </row>
    <row r="118" spans="1:23" x14ac:dyDescent="0.2">
      <c r="B118" s="2" t="s">
        <v>69</v>
      </c>
      <c r="C118" s="4" t="s">
        <v>61</v>
      </c>
      <c r="E118" t="s">
        <v>104</v>
      </c>
      <c r="U118" s="4" t="s">
        <v>61</v>
      </c>
      <c r="V118" t="s">
        <v>40</v>
      </c>
      <c r="W118" t="s">
        <v>102</v>
      </c>
    </row>
    <row r="119" spans="1:23" x14ac:dyDescent="0.2">
      <c r="B119" s="2" t="s">
        <v>69</v>
      </c>
      <c r="C119" s="4" t="s">
        <v>61</v>
      </c>
      <c r="E119" t="s">
        <v>75</v>
      </c>
      <c r="U119" s="4" t="s">
        <v>61</v>
      </c>
      <c r="V119" t="s">
        <v>40</v>
      </c>
      <c r="W119" t="s">
        <v>102</v>
      </c>
    </row>
    <row r="120" spans="1:23" x14ac:dyDescent="0.2">
      <c r="B120" s="2" t="s">
        <v>69</v>
      </c>
      <c r="C120" s="4" t="s">
        <v>61</v>
      </c>
      <c r="E120" t="s">
        <v>105</v>
      </c>
      <c r="U120" s="4" t="s">
        <v>61</v>
      </c>
      <c r="V120" t="s">
        <v>40</v>
      </c>
      <c r="W120" t="s">
        <v>102</v>
      </c>
    </row>
    <row r="121" spans="1:23" x14ac:dyDescent="0.2">
      <c r="B121" s="2" t="s">
        <v>69</v>
      </c>
      <c r="C121" s="4" t="s">
        <v>61</v>
      </c>
      <c r="E121" t="s">
        <v>106</v>
      </c>
      <c r="U121" s="4" t="s">
        <v>61</v>
      </c>
      <c r="V121" t="s">
        <v>40</v>
      </c>
      <c r="W121" t="s">
        <v>102</v>
      </c>
    </row>
    <row r="122" spans="1:23" x14ac:dyDescent="0.2">
      <c r="B122" s="2" t="s">
        <v>69</v>
      </c>
      <c r="C122" s="4" t="s">
        <v>61</v>
      </c>
      <c r="E122" t="s">
        <v>76</v>
      </c>
      <c r="U122" s="4" t="s">
        <v>61</v>
      </c>
      <c r="V122" t="s">
        <v>40</v>
      </c>
      <c r="W122" t="s">
        <v>102</v>
      </c>
    </row>
    <row r="123" spans="1:23" x14ac:dyDescent="0.2">
      <c r="B123" s="2" t="s">
        <v>69</v>
      </c>
      <c r="C123" s="4" t="s">
        <v>61</v>
      </c>
      <c r="E123" t="s">
        <v>107</v>
      </c>
      <c r="U123" s="4" t="s">
        <v>61</v>
      </c>
      <c r="V123" t="s">
        <v>40</v>
      </c>
      <c r="W123" t="s">
        <v>102</v>
      </c>
    </row>
    <row r="124" spans="1:23" x14ac:dyDescent="0.2">
      <c r="B124" s="2" t="s">
        <v>69</v>
      </c>
      <c r="C124" s="4" t="s">
        <v>61</v>
      </c>
      <c r="E124" t="s">
        <v>108</v>
      </c>
      <c r="U124" s="4" t="s">
        <v>61</v>
      </c>
      <c r="V124" t="s">
        <v>40</v>
      </c>
      <c r="W124" t="s">
        <v>102</v>
      </c>
    </row>
    <row r="125" spans="1:23" x14ac:dyDescent="0.2">
      <c r="B125" s="2" t="s">
        <v>69</v>
      </c>
      <c r="C125" s="4" t="s">
        <v>61</v>
      </c>
      <c r="E125" t="s">
        <v>109</v>
      </c>
      <c r="U125" s="4" t="s">
        <v>61</v>
      </c>
      <c r="V125" t="s">
        <v>40</v>
      </c>
      <c r="W125" t="s">
        <v>102</v>
      </c>
    </row>
    <row r="126" spans="1:23" x14ac:dyDescent="0.2">
      <c r="B126" s="2" t="s">
        <v>69</v>
      </c>
      <c r="C126" s="4" t="s">
        <v>61</v>
      </c>
      <c r="E126" t="s">
        <v>74</v>
      </c>
      <c r="U126" s="4" t="s">
        <v>61</v>
      </c>
      <c r="V126" t="s">
        <v>40</v>
      </c>
      <c r="W126" t="s">
        <v>102</v>
      </c>
    </row>
    <row r="127" spans="1:23" x14ac:dyDescent="0.2">
      <c r="B127" s="2" t="s">
        <v>69</v>
      </c>
      <c r="C127" s="4" t="s">
        <v>61</v>
      </c>
      <c r="E127" t="s">
        <v>110</v>
      </c>
      <c r="U127" s="4" t="s">
        <v>61</v>
      </c>
      <c r="V127" t="s">
        <v>40</v>
      </c>
      <c r="W127" t="s">
        <v>102</v>
      </c>
    </row>
    <row r="128" spans="1:23" x14ac:dyDescent="0.2">
      <c r="B128" s="2" t="s">
        <v>69</v>
      </c>
      <c r="C128" s="4" t="s">
        <v>61</v>
      </c>
      <c r="E128" t="s">
        <v>111</v>
      </c>
      <c r="U128" s="4" t="s">
        <v>61</v>
      </c>
      <c r="V128" t="s">
        <v>40</v>
      </c>
      <c r="W128" t="s">
        <v>102</v>
      </c>
    </row>
    <row r="129" spans="1:23" x14ac:dyDescent="0.2">
      <c r="A129" t="s">
        <v>122</v>
      </c>
      <c r="B129" s="2"/>
      <c r="C129" s="4"/>
      <c r="U129" s="4"/>
    </row>
    <row r="130" spans="1:23" x14ac:dyDescent="0.2">
      <c r="B130" s="2" t="s">
        <v>69</v>
      </c>
      <c r="C130" s="4" t="s">
        <v>61</v>
      </c>
      <c r="D130" t="s">
        <v>123</v>
      </c>
      <c r="E130" t="s">
        <v>112</v>
      </c>
      <c r="F130">
        <v>77</v>
      </c>
      <c r="H130">
        <v>4</v>
      </c>
      <c r="L130">
        <v>1</v>
      </c>
      <c r="M130">
        <v>6.05</v>
      </c>
      <c r="U130" s="4" t="s">
        <v>61</v>
      </c>
      <c r="V130" t="s">
        <v>40</v>
      </c>
      <c r="W130" t="s">
        <v>24</v>
      </c>
    </row>
    <row r="131" spans="1:23" x14ac:dyDescent="0.2">
      <c r="B131" s="2" t="s">
        <v>69</v>
      </c>
      <c r="C131" s="4" t="s">
        <v>61</v>
      </c>
      <c r="D131" t="s">
        <v>124</v>
      </c>
      <c r="E131" t="s">
        <v>113</v>
      </c>
      <c r="F131">
        <v>21</v>
      </c>
      <c r="H131">
        <v>3.62</v>
      </c>
      <c r="L131">
        <v>1.6</v>
      </c>
      <c r="M131">
        <v>5.5</v>
      </c>
      <c r="U131" s="4" t="s">
        <v>61</v>
      </c>
      <c r="V131" t="s">
        <v>40</v>
      </c>
      <c r="W131" t="s">
        <v>24</v>
      </c>
    </row>
    <row r="132" spans="1:23" x14ac:dyDescent="0.2">
      <c r="B132" s="2" t="s">
        <v>69</v>
      </c>
      <c r="C132" s="4" t="s">
        <v>61</v>
      </c>
      <c r="D132" t="s">
        <v>125</v>
      </c>
      <c r="E132" t="s">
        <v>114</v>
      </c>
      <c r="F132">
        <v>242</v>
      </c>
      <c r="H132">
        <v>2.04</v>
      </c>
      <c r="L132">
        <v>0.6</v>
      </c>
      <c r="M132">
        <v>4</v>
      </c>
      <c r="U132" s="4" t="s">
        <v>61</v>
      </c>
      <c r="V132" t="s">
        <v>40</v>
      </c>
      <c r="W132" t="s">
        <v>24</v>
      </c>
    </row>
    <row r="133" spans="1:23" x14ac:dyDescent="0.2">
      <c r="B133" s="2" t="s">
        <v>69</v>
      </c>
      <c r="C133" s="4" t="s">
        <v>61</v>
      </c>
      <c r="D133" t="s">
        <v>121</v>
      </c>
      <c r="E133" t="s">
        <v>115</v>
      </c>
      <c r="F133">
        <v>191</v>
      </c>
      <c r="H133">
        <v>2.21</v>
      </c>
      <c r="L133">
        <v>0.5</v>
      </c>
      <c r="M133">
        <v>4</v>
      </c>
      <c r="U133" s="4" t="s">
        <v>61</v>
      </c>
      <c r="V133" t="s">
        <v>40</v>
      </c>
      <c r="W133" t="s">
        <v>24</v>
      </c>
    </row>
    <row r="134" spans="1:23" x14ac:dyDescent="0.2">
      <c r="B134" s="2" t="s">
        <v>69</v>
      </c>
      <c r="C134" s="4" t="s">
        <v>61</v>
      </c>
      <c r="D134" t="s">
        <v>126</v>
      </c>
      <c r="E134" t="s">
        <v>116</v>
      </c>
      <c r="F134">
        <v>24</v>
      </c>
      <c r="H134">
        <v>1.44</v>
      </c>
      <c r="L134">
        <v>0.1</v>
      </c>
      <c r="M134">
        <v>2.75</v>
      </c>
      <c r="U134" s="4" t="s">
        <v>61</v>
      </c>
      <c r="V134" t="s">
        <v>40</v>
      </c>
      <c r="W134" t="s">
        <v>24</v>
      </c>
    </row>
    <row r="135" spans="1:23" x14ac:dyDescent="0.2">
      <c r="B135" s="2" t="s">
        <v>69</v>
      </c>
      <c r="C135" s="4" t="s">
        <v>61</v>
      </c>
      <c r="D135" t="s">
        <v>127</v>
      </c>
      <c r="E135" t="s">
        <v>117</v>
      </c>
      <c r="H135">
        <v>1.53</v>
      </c>
      <c r="L135">
        <v>0.6</v>
      </c>
      <c r="M135">
        <v>2.6</v>
      </c>
      <c r="U135" s="4" t="s">
        <v>61</v>
      </c>
      <c r="V135" t="s">
        <v>40</v>
      </c>
      <c r="W135" t="s">
        <v>24</v>
      </c>
    </row>
    <row r="136" spans="1:23" x14ac:dyDescent="0.2">
      <c r="B136" s="2" t="s">
        <v>69</v>
      </c>
      <c r="C136" s="4" t="s">
        <v>61</v>
      </c>
      <c r="D136" t="s">
        <v>128</v>
      </c>
      <c r="E136" t="s">
        <v>118</v>
      </c>
      <c r="F136">
        <v>648</v>
      </c>
      <c r="H136">
        <v>0.95</v>
      </c>
      <c r="L136">
        <v>0.4</v>
      </c>
      <c r="M136">
        <v>1.7</v>
      </c>
      <c r="U136" s="4" t="s">
        <v>61</v>
      </c>
      <c r="V136" t="s">
        <v>40</v>
      </c>
      <c r="W136" t="s">
        <v>24</v>
      </c>
    </row>
    <row r="137" spans="1:23" x14ac:dyDescent="0.2">
      <c r="B137" s="2" t="s">
        <v>69</v>
      </c>
      <c r="C137" s="4" t="s">
        <v>61</v>
      </c>
      <c r="D137" t="s">
        <v>51</v>
      </c>
      <c r="E137" t="s">
        <v>8</v>
      </c>
      <c r="F137">
        <v>487</v>
      </c>
      <c r="H137">
        <v>2.29</v>
      </c>
      <c r="L137">
        <v>0.62</v>
      </c>
      <c r="M137">
        <v>4.4000000000000004</v>
      </c>
      <c r="U137" s="4" t="s">
        <v>61</v>
      </c>
      <c r="V137" t="s">
        <v>40</v>
      </c>
      <c r="W137" t="s">
        <v>24</v>
      </c>
    </row>
    <row r="138" spans="1:23" x14ac:dyDescent="0.2">
      <c r="B138" s="2" t="s">
        <v>69</v>
      </c>
      <c r="C138" s="4" t="s">
        <v>61</v>
      </c>
      <c r="D138" t="s">
        <v>48</v>
      </c>
      <c r="E138" t="s">
        <v>9</v>
      </c>
      <c r="F138">
        <v>1262</v>
      </c>
      <c r="H138">
        <v>2.4700000000000002</v>
      </c>
      <c r="L138">
        <v>0.9</v>
      </c>
      <c r="M138">
        <v>6.5</v>
      </c>
      <c r="U138" s="4" t="s">
        <v>61</v>
      </c>
      <c r="V138" t="s">
        <v>40</v>
      </c>
      <c r="W138" t="s">
        <v>24</v>
      </c>
    </row>
    <row r="139" spans="1:23" x14ac:dyDescent="0.2">
      <c r="B139" s="2" t="s">
        <v>69</v>
      </c>
      <c r="C139" s="4" t="s">
        <v>61</v>
      </c>
      <c r="D139" t="s">
        <v>49</v>
      </c>
      <c r="E139" t="s">
        <v>10</v>
      </c>
      <c r="F139">
        <v>377</v>
      </c>
      <c r="H139">
        <v>2.0699999999999998</v>
      </c>
      <c r="L139">
        <v>0.55000000000000004</v>
      </c>
      <c r="M139">
        <v>4.25</v>
      </c>
      <c r="U139" s="4" t="s">
        <v>61</v>
      </c>
      <c r="V139" t="s">
        <v>40</v>
      </c>
      <c r="W139" t="s">
        <v>24</v>
      </c>
    </row>
    <row r="140" spans="1:23" x14ac:dyDescent="0.2">
      <c r="B140" s="2" t="s">
        <v>69</v>
      </c>
      <c r="C140" s="4" t="s">
        <v>61</v>
      </c>
      <c r="D140" t="s">
        <v>50</v>
      </c>
      <c r="E140" t="s">
        <v>11</v>
      </c>
      <c r="L140">
        <v>0.04</v>
      </c>
      <c r="M140">
        <v>1.5</v>
      </c>
      <c r="U140" s="4" t="s">
        <v>61</v>
      </c>
      <c r="V140" t="s">
        <v>40</v>
      </c>
      <c r="W140" t="s">
        <v>24</v>
      </c>
    </row>
    <row r="143" spans="1:23" x14ac:dyDescent="0.2">
      <c r="B143" s="2"/>
      <c r="C143" s="2"/>
      <c r="D143" s="2"/>
    </row>
    <row r="151" spans="2:22" x14ac:dyDescent="0.2">
      <c r="B151" s="2"/>
      <c r="C151" s="2"/>
      <c r="D151" s="2"/>
      <c r="V151" s="2"/>
    </row>
    <row r="167" spans="22:22" x14ac:dyDescent="0.2">
      <c r="V167" s="2"/>
    </row>
    <row r="177" spans="2:22" x14ac:dyDescent="0.2">
      <c r="B177" s="2"/>
      <c r="C177" s="2"/>
      <c r="D177" s="2"/>
      <c r="V177" s="2"/>
    </row>
    <row r="178" spans="2:22" x14ac:dyDescent="0.2">
      <c r="B178" s="2"/>
      <c r="C178" s="2"/>
      <c r="D178" s="2"/>
      <c r="E178" s="2"/>
      <c r="V178" s="2"/>
    </row>
    <row r="185" spans="2:22" x14ac:dyDescent="0.2">
      <c r="E185" s="2"/>
    </row>
    <row r="191" spans="2:22" x14ac:dyDescent="0.2">
      <c r="B191" s="2"/>
      <c r="C191" s="2"/>
      <c r="D191" s="2"/>
      <c r="V191" s="2"/>
    </row>
    <row r="192" spans="2:22" x14ac:dyDescent="0.2">
      <c r="E192" s="2"/>
    </row>
    <row r="200" spans="5:5" x14ac:dyDescent="0.2">
      <c r="E200" s="2"/>
    </row>
    <row r="207" spans="5:5" x14ac:dyDescent="0.2">
      <c r="E207" s="2"/>
    </row>
    <row r="215" spans="5:5" x14ac:dyDescent="0.2">
      <c r="E215" s="2"/>
    </row>
    <row r="221" spans="5:5" x14ac:dyDescent="0.2">
      <c r="E221" s="2"/>
    </row>
    <row r="228" spans="4:5" x14ac:dyDescent="0.2">
      <c r="D228" s="2"/>
      <c r="E228" s="2"/>
    </row>
  </sheetData>
  <phoneticPr fontId="3" type="noConversion"/>
  <hyperlinks>
    <hyperlink ref="B109" r:id="rId1" xr:uid="{FBD3FD1F-9C6C-B44E-8876-88C3BA2286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2020-11-10T09:19:18Z</dcterms:created>
  <dcterms:modified xsi:type="dcterms:W3CDTF">2021-02-12T17:33:48Z</dcterms:modified>
  <cp:category/>
  <cp:contentStatus/>
</cp:coreProperties>
</file>