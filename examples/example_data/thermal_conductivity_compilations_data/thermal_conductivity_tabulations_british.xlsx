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thermal_conductivity_compilations/"/>
    </mc:Choice>
  </mc:AlternateContent>
  <xr:revisionPtr revIDLastSave="0" documentId="13_ncr:1_{8771DD49-E454-2C4D-9624-246FACE8C5B2}" xr6:coauthVersionLast="46" xr6:coauthVersionMax="46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7" i="1" l="1"/>
  <c r="P58" i="1"/>
  <c r="P59" i="1"/>
  <c r="P44" i="1"/>
  <c r="P45" i="1"/>
  <c r="P46" i="1"/>
  <c r="P47" i="1"/>
  <c r="P48" i="1"/>
  <c r="P50" i="1"/>
  <c r="P51" i="1"/>
  <c r="P52" i="1"/>
  <c r="P53" i="1"/>
  <c r="P54" i="1"/>
  <c r="P55" i="1"/>
  <c r="P56" i="1"/>
  <c r="P43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16" i="1"/>
  <c r="P4" i="1"/>
  <c r="P5" i="1"/>
  <c r="P6" i="1"/>
  <c r="P7" i="1"/>
  <c r="P8" i="1"/>
  <c r="P9" i="1"/>
  <c r="P10" i="1"/>
  <c r="P11" i="1"/>
  <c r="P12" i="1"/>
  <c r="P13" i="1"/>
  <c r="P3" i="1"/>
  <c r="V197" i="1"/>
  <c r="M197" i="1"/>
  <c r="O196" i="1"/>
  <c r="O195" i="1"/>
  <c r="O194" i="1"/>
  <c r="O193" i="1"/>
  <c r="V190" i="1"/>
  <c r="M190" i="1"/>
  <c r="O189" i="1"/>
  <c r="O188" i="1"/>
  <c r="O187" i="1"/>
  <c r="O186" i="1"/>
  <c r="O185" i="1"/>
  <c r="O184" i="1"/>
  <c r="O183" i="1"/>
  <c r="O182" i="1"/>
  <c r="V179" i="1"/>
  <c r="O178" i="1"/>
  <c r="O177" i="1"/>
  <c r="M174" i="1"/>
  <c r="V174" i="1"/>
  <c r="O173" i="1"/>
  <c r="O172" i="1"/>
  <c r="O171" i="1"/>
  <c r="O170" i="1"/>
  <c r="O169" i="1"/>
  <c r="O168" i="1"/>
  <c r="O167" i="1"/>
  <c r="O166" i="1"/>
  <c r="O165" i="1"/>
  <c r="O164" i="1"/>
  <c r="V161" i="1"/>
  <c r="O159" i="1"/>
  <c r="O160" i="1"/>
  <c r="O158" i="1"/>
  <c r="O157" i="1"/>
  <c r="O156" i="1"/>
  <c r="O155" i="1"/>
  <c r="V152" i="1"/>
  <c r="O151" i="1"/>
  <c r="O150" i="1"/>
  <c r="O149" i="1"/>
  <c r="V146" i="1"/>
  <c r="O145" i="1"/>
  <c r="O144" i="1"/>
  <c r="O143" i="1"/>
  <c r="V140" i="1"/>
  <c r="O139" i="1"/>
  <c r="O138" i="1"/>
  <c r="O137" i="1"/>
  <c r="V134" i="1"/>
  <c r="O133" i="1"/>
  <c r="O132" i="1"/>
  <c r="O131" i="1"/>
  <c r="O130" i="1"/>
  <c r="O129" i="1"/>
  <c r="V126" i="1"/>
  <c r="O125" i="1"/>
  <c r="O124" i="1"/>
  <c r="O123" i="1"/>
  <c r="O122" i="1"/>
  <c r="V119" i="1"/>
  <c r="O115" i="1"/>
  <c r="O116" i="1"/>
  <c r="O117" i="1"/>
  <c r="O118" i="1"/>
  <c r="O114" i="1"/>
  <c r="P109" i="1"/>
  <c r="P108" i="1"/>
  <c r="O104" i="1"/>
  <c r="O105" i="1"/>
  <c r="O108" i="1"/>
  <c r="O109" i="1"/>
  <c r="O110" i="1"/>
  <c r="O102" i="1"/>
  <c r="O103" i="1"/>
  <c r="P101" i="1"/>
  <c r="O101" i="1"/>
  <c r="O67" i="1"/>
  <c r="P67" i="1"/>
  <c r="O68" i="1"/>
  <c r="P68" i="1"/>
  <c r="O69" i="1"/>
  <c r="P69" i="1"/>
  <c r="O70" i="1"/>
  <c r="P70" i="1"/>
  <c r="P66" i="1"/>
  <c r="O66" i="1"/>
  <c r="Q101" i="1" l="1"/>
  <c r="P197" i="1"/>
  <c r="Q197" i="1" s="1"/>
  <c r="O197" i="1"/>
  <c r="P190" i="1"/>
  <c r="Q190" i="1" s="1"/>
  <c r="O190" i="1"/>
  <c r="P179" i="1"/>
  <c r="Q179" i="1" s="1"/>
  <c r="O179" i="1"/>
  <c r="O174" i="1"/>
  <c r="P174" i="1"/>
  <c r="Q174" i="1" s="1"/>
  <c r="P161" i="1"/>
  <c r="Q161" i="1" s="1"/>
  <c r="O161" i="1"/>
  <c r="P152" i="1"/>
  <c r="Q152" i="1" s="1"/>
  <c r="O152" i="1"/>
  <c r="P146" i="1"/>
  <c r="Q146" i="1" s="1"/>
  <c r="O146" i="1"/>
  <c r="P140" i="1"/>
  <c r="Q140" i="1" s="1"/>
  <c r="O119" i="1"/>
  <c r="O134" i="1"/>
  <c r="O140" i="1"/>
  <c r="P134" i="1"/>
  <c r="Q134" i="1" s="1"/>
  <c r="P119" i="1"/>
  <c r="Q119" i="1" s="1"/>
  <c r="P126" i="1"/>
  <c r="Q126" i="1" s="1"/>
  <c r="O126" i="1"/>
</calcChain>
</file>

<file path=xl/sharedStrings.xml><?xml version="1.0" encoding="utf-8"?>
<sst xmlns="http://schemas.openxmlformats.org/spreadsheetml/2006/main" count="1302" uniqueCount="253">
  <si>
    <t>Limestone</t>
  </si>
  <si>
    <t>Sandstone</t>
  </si>
  <si>
    <t>Rollin (1987) - pg. 84/94 Table 3</t>
  </si>
  <si>
    <t>Keuper Marl</t>
  </si>
  <si>
    <t>* std is given as standard error on K</t>
  </si>
  <si>
    <t>Magnesian Limestone</t>
  </si>
  <si>
    <t>Westphalian (sandstone)</t>
  </si>
  <si>
    <t>Westphalian (siltstone)</t>
  </si>
  <si>
    <t>Westphalian (mudstone)</t>
  </si>
  <si>
    <t>Westphalian (coal)</t>
  </si>
  <si>
    <t>Mercia Mudstone</t>
  </si>
  <si>
    <t>Includes data from Bullard1951</t>
  </si>
  <si>
    <t>Carboniferous Limestone and Magnesian Limestone</t>
  </si>
  <si>
    <t>Includes data from Bullard1951, Chadwick1956, Bott1972</t>
  </si>
  <si>
    <t>Rollin (1987)</t>
  </si>
  <si>
    <t>Richardson and Oxburgh (1978)</t>
  </si>
  <si>
    <t>number_samples</t>
  </si>
  <si>
    <t>median_k(Wm-1K-1)</t>
  </si>
  <si>
    <t>mean_k(Wm-1K-1)</t>
  </si>
  <si>
    <t>range_k(Wm-1K-1)</t>
  </si>
  <si>
    <t>min_k(Wm-1K-1)</t>
  </si>
  <si>
    <t>max_k(Wm-1K-1)</t>
  </si>
  <si>
    <t>median_k(mcal_cm-1s-1K-1)</t>
  </si>
  <si>
    <t>mean_k(mcal_cm-1s-1K-1)</t>
  </si>
  <si>
    <t>range_k(mcal_cm-1s-1K-1)</t>
  </si>
  <si>
    <t>min_k(mcal_cm-1s-1K-1)</t>
  </si>
  <si>
    <t>max_k(mcal_cm-1s-1K-1)</t>
  </si>
  <si>
    <t>Coal measures (coal)</t>
  </si>
  <si>
    <t>Coal measures (mudstones)</t>
  </si>
  <si>
    <t>Coal measures (siltstones)</t>
  </si>
  <si>
    <t>Coal measures (sandstones)</t>
  </si>
  <si>
    <t>use?</t>
  </si>
  <si>
    <t>y</t>
  </si>
  <si>
    <t>London Clay</t>
  </si>
  <si>
    <t>Fullers Earth</t>
  </si>
  <si>
    <t>Oxford Clay</t>
  </si>
  <si>
    <t>Kimmeridge Clay</t>
  </si>
  <si>
    <t>Barton Beds</t>
  </si>
  <si>
    <t>Bracklesham Beds</t>
  </si>
  <si>
    <t>Reading Beds</t>
  </si>
  <si>
    <t>Gault</t>
  </si>
  <si>
    <t>Kellaways</t>
  </si>
  <si>
    <t>Forest Marble</t>
  </si>
  <si>
    <t>Lower Lias</t>
  </si>
  <si>
    <t>Keuper Marl (mudstone)</t>
  </si>
  <si>
    <t>stdev_k(Wm-1K-1)</t>
  </si>
  <si>
    <t>sterr_k(Wm-1K-1)</t>
  </si>
  <si>
    <t>Table 1, pg4of6. Needle probe / pill box method. Instrument accuracy pm 10%. Standard error (not stdev) found from variations between boreholes</t>
  </si>
  <si>
    <t>Chalk</t>
  </si>
  <si>
    <t>Lower Lias Clay</t>
  </si>
  <si>
    <t>Rhaetic</t>
  </si>
  <si>
    <t>New Red Sandstone</t>
  </si>
  <si>
    <t>New Red Marl</t>
  </si>
  <si>
    <t>Basement metasediments</t>
  </si>
  <si>
    <t>stdev_k(mcal_cm-1s-1K-1)</t>
  </si>
  <si>
    <t>sterr_k(mcal_cm-1s-1K-1)</t>
  </si>
  <si>
    <t>Weardale granite (Rookhope borehole)</t>
  </si>
  <si>
    <t>All samples taken from Rookhope borehole. 3 measurements discarded due to quartz veins. Mean is harmonic mean. Arithmetic mean is 7.05 mcal cm-1 s-1 deg-1</t>
  </si>
  <si>
    <t>Carboniferous Limestone Series (limestone)</t>
  </si>
  <si>
    <t>unstated</t>
  </si>
  <si>
    <t>Rookhope borehole</t>
  </si>
  <si>
    <t>Micaceous sandstone</t>
  </si>
  <si>
    <t>Great Whin Sill (quartz dolerite)</t>
  </si>
  <si>
    <t>Woodland borehole</t>
  </si>
  <si>
    <t>Harmonic mean conductivity. No uncertainty given</t>
  </si>
  <si>
    <t>Individual measurements</t>
  </si>
  <si>
    <t>Keuper Marl average</t>
  </si>
  <si>
    <t>Bunter (sandstone)</t>
  </si>
  <si>
    <t>Bunter (sandstone) average</t>
  </si>
  <si>
    <t>Permian saliferous marls</t>
  </si>
  <si>
    <t>Permian saliferous marls average</t>
  </si>
  <si>
    <t>Permian anhydrite</t>
  </si>
  <si>
    <t>Permian dolomitic anhydrite</t>
  </si>
  <si>
    <t>Permian Magnesian Limestone</t>
  </si>
  <si>
    <t>Permian anhydrite average</t>
  </si>
  <si>
    <t>Permian dolomitic anhydrite average</t>
  </si>
  <si>
    <t>Permian Magnesian Limestone average</t>
  </si>
  <si>
    <t>Coal Measures (sandstone)</t>
  </si>
  <si>
    <t>Coal Measures (shales)</t>
  </si>
  <si>
    <t>Coal Measures (sandstone) average</t>
  </si>
  <si>
    <t>Coal Measures (shales) average</t>
  </si>
  <si>
    <t>Coal Measures (coal)</t>
  </si>
  <si>
    <t>Taken from Brit. Ass. Rep., p. 133, 1878 and p. 58, 1879</t>
  </si>
  <si>
    <t>Coal Measures (coal) average</t>
  </si>
  <si>
    <t>Millstone Grit</t>
  </si>
  <si>
    <t>Carboniferous Limestone</t>
  </si>
  <si>
    <t>Millstone Grit average</t>
  </si>
  <si>
    <t>Carboniferous Limestone average</t>
  </si>
  <si>
    <t>commented</t>
  </si>
  <si>
    <t>source_name</t>
  </si>
  <si>
    <t>bgs_group_code</t>
  </si>
  <si>
    <t>formation_name</t>
  </si>
  <si>
    <t>bgs_formation_code</t>
  </si>
  <si>
    <t>member_name</t>
  </si>
  <si>
    <t>lith_type</t>
  </si>
  <si>
    <t>sandstone</t>
  </si>
  <si>
    <t>shale</t>
  </si>
  <si>
    <t>coal</t>
  </si>
  <si>
    <t>limestone</t>
  </si>
  <si>
    <t>granite</t>
  </si>
  <si>
    <t>mudstone</t>
  </si>
  <si>
    <t>siltstone</t>
  </si>
  <si>
    <t>notes</t>
  </si>
  <si>
    <t>chalk</t>
  </si>
  <si>
    <t>source_description</t>
  </si>
  <si>
    <t>bgs_group_name</t>
  </si>
  <si>
    <t>MMG</t>
  </si>
  <si>
    <t>KM</t>
  </si>
  <si>
    <t>bgs_lith_code</t>
  </si>
  <si>
    <t>dolerite</t>
  </si>
  <si>
    <t>Dolerite</t>
  </si>
  <si>
    <t>basement_metasediments</t>
  </si>
  <si>
    <t>Keuper Marl (obsolete - now grouped in Mercia Mudstone Group - see Howard2008)</t>
  </si>
  <si>
    <t>anhydrite</t>
  </si>
  <si>
    <t>ANHY</t>
  </si>
  <si>
    <t>Sherwood Sandstone Group</t>
  </si>
  <si>
    <t>SSG</t>
  </si>
  <si>
    <t>scource_code2</t>
  </si>
  <si>
    <t>source_code</t>
  </si>
  <si>
    <t>Mean conductivities measured in fourteen borehole sites by Oxford Heat Flow Group. I think reported uncertainties are standard deviations. Suggest error in individual measurements (from their 14 boreholes) is approx 5% (pg4of15). Use both transient-line source and needle probe technique</t>
  </si>
  <si>
    <t>Midttomme et al. (1998)</t>
  </si>
  <si>
    <t>Mudstones from Central Southern England. Six boreholes in central southern England - accuracy of instrument is 10% - see pg2of6</t>
  </si>
  <si>
    <t>Bloomer et al. (1981)</t>
  </si>
  <si>
    <t>Bott et al. (1972)</t>
  </si>
  <si>
    <t>Bullard and Niblett (1951)</t>
  </si>
  <si>
    <t>Sherwood Sandstone (sandstone)</t>
  </si>
  <si>
    <t>Sherwood Sandstone (mudstone)</t>
  </si>
  <si>
    <t>0.23?</t>
  </si>
  <si>
    <t>Bunter Sandstone</t>
  </si>
  <si>
    <t>0.07?</t>
  </si>
  <si>
    <t>Permian Marls (marl)</t>
  </si>
  <si>
    <t>Permian Marls (anhydrite)</t>
  </si>
  <si>
    <t>Permian Marls (halite)</t>
  </si>
  <si>
    <t>0.28?</t>
  </si>
  <si>
    <t>0.13?</t>
  </si>
  <si>
    <t>0.22?</t>
  </si>
  <si>
    <t>marl</t>
  </si>
  <si>
    <t>anydrite</t>
  </si>
  <si>
    <t>halite</t>
  </si>
  <si>
    <t>%!%#</t>
  </si>
  <si>
    <t>n</t>
  </si>
  <si>
    <t>More recent than Rollin (1987):</t>
  </si>
  <si>
    <t>description_code</t>
  </si>
  <si>
    <t>mercia_mudstone</t>
  </si>
  <si>
    <t>keuper_marl</t>
  </si>
  <si>
    <t>sherwood_sandstone_sandstone</t>
  </si>
  <si>
    <t>sherwood_sandstone_mudstone</t>
  </si>
  <si>
    <t>bunter_sandstone</t>
  </si>
  <si>
    <t>permian_marls_marl</t>
  </si>
  <si>
    <t>permian_marls_anhydrite</t>
  </si>
  <si>
    <t>permian_marls_halite</t>
  </si>
  <si>
    <t>magnesian_limestone</t>
  </si>
  <si>
    <t>rollin1987</t>
  </si>
  <si>
    <t>richardson1978</t>
  </si>
  <si>
    <t>bloomer1981</t>
  </si>
  <si>
    <t>bott1972</t>
  </si>
  <si>
    <t>bullard1951</t>
  </si>
  <si>
    <t>midttomme1998</t>
  </si>
  <si>
    <t>Barton Beds (mudstone)</t>
  </si>
  <si>
    <t>Barton Beds (sandy mudstone)</t>
  </si>
  <si>
    <t>Bracklesham Beds (sandy mudstone)</t>
  </si>
  <si>
    <t>Bracklesham Beds (mudstone)</t>
  </si>
  <si>
    <t>Reading Beds (sandy mudstone)</t>
  </si>
  <si>
    <t>Reading Beds (mudstone)</t>
  </si>
  <si>
    <t>Upper Greensand</t>
  </si>
  <si>
    <t>Gault (sandy mudstone)</t>
  </si>
  <si>
    <t>Gault (mudstone)</t>
  </si>
  <si>
    <t>Hastings Beds (siltstone)</t>
  </si>
  <si>
    <t>Hastings Beds (silty_clay)</t>
  </si>
  <si>
    <t>Kimmeridge</t>
  </si>
  <si>
    <t>Ampthill Clay</t>
  </si>
  <si>
    <t>Kellaways Beds</t>
  </si>
  <si>
    <t>Cornbrash</t>
  </si>
  <si>
    <t>Frome Clay</t>
  </si>
  <si>
    <t>Upper Lias (sandstone)</t>
  </si>
  <si>
    <t>Upper Lias (mudstone)</t>
  </si>
  <si>
    <t>Upper Lias (silty mudstone)</t>
  </si>
  <si>
    <t>Middle Lias (mudstone)</t>
  </si>
  <si>
    <t>Lower Lias (mudstone)</t>
  </si>
  <si>
    <t>Penarth Group</t>
  </si>
  <si>
    <t xml:space="preserve">Namurian </t>
  </si>
  <si>
    <t>Tournasian (limestone)</t>
  </si>
  <si>
    <t>Tournasian (sandstone)</t>
  </si>
  <si>
    <t>Upper Old Red Sandstone</t>
  </si>
  <si>
    <t>Middle Devonian?</t>
  </si>
  <si>
    <t>Old Red Sandstone</t>
  </si>
  <si>
    <t>Devonian slate (southwest England)</t>
  </si>
  <si>
    <t>Silurian slate (Selkirk)</t>
  </si>
  <si>
    <t>Ordovician mudstone (Central Wales)</t>
  </si>
  <si>
    <t>Precambrian (Charnian)</t>
  </si>
  <si>
    <t>Precambrian (Longmyndian)</t>
  </si>
  <si>
    <t>Precambrian (Dalradian)</t>
  </si>
  <si>
    <t>Precambrian (Moinian)</t>
  </si>
  <si>
    <t>Hercynian granite</t>
  </si>
  <si>
    <t>Caledonian granite</t>
  </si>
  <si>
    <t>Basalt</t>
  </si>
  <si>
    <t>basalt</t>
  </si>
  <si>
    <t>slate</t>
  </si>
  <si>
    <t>namurian</t>
  </si>
  <si>
    <t>basalt </t>
  </si>
  <si>
    <t>tournasian_limestone</t>
  </si>
  <si>
    <t>tournasian_sandstone</t>
  </si>
  <si>
    <t>middle_devonian</t>
  </si>
  <si>
    <t>old_red_sandstone </t>
  </si>
  <si>
    <t>devonian_slate_southwest england</t>
  </si>
  <si>
    <t>silurian slate_selkirk</t>
  </si>
  <si>
    <t>ordovician_mudstone_central_wales</t>
  </si>
  <si>
    <t>precambrian_charnian</t>
  </si>
  <si>
    <t>precambrian_longmyndian</t>
  </si>
  <si>
    <t>precambrian_dalradian</t>
  </si>
  <si>
    <t>precambrian_moinian</t>
  </si>
  <si>
    <t>hercynian_granite</t>
  </si>
  <si>
    <t>caledonian_granite</t>
  </si>
  <si>
    <t>barton_beds_sandy_mudstone</t>
  </si>
  <si>
    <t>barton_beds_mudstone</t>
  </si>
  <si>
    <t>bracklesham_beds_sandy_mudstone</t>
  </si>
  <si>
    <t>bracklesham_beds_mudstone</t>
  </si>
  <si>
    <t>reading_beds_sandy_mudstone</t>
  </si>
  <si>
    <t>reading_beds_mudstone</t>
  </si>
  <si>
    <t>gault_sandy_mudstone</t>
  </si>
  <si>
    <t>gault_mudstone</t>
  </si>
  <si>
    <t>hastings_beds_siltstone</t>
  </si>
  <si>
    <t>london_clay</t>
  </si>
  <si>
    <t>upper_greensand</t>
  </si>
  <si>
    <t>hastings_beds_silty_clay</t>
  </si>
  <si>
    <t>kimmeridge</t>
  </si>
  <si>
    <t>ampthill_clay</t>
  </si>
  <si>
    <t>oxford_clay</t>
  </si>
  <si>
    <t>kellaways_beds</t>
  </si>
  <si>
    <t>cornbrash</t>
  </si>
  <si>
    <t>forest_marble</t>
  </si>
  <si>
    <t>frome_clay</t>
  </si>
  <si>
    <t>fullers_earth</t>
  </si>
  <si>
    <t>sandy_mudstone</t>
  </si>
  <si>
    <t>silty_clay</t>
  </si>
  <si>
    <t>mudstone_and_limestone</t>
  </si>
  <si>
    <t>silty_mudstone</t>
  </si>
  <si>
    <t>original source: Bloomer1981</t>
  </si>
  <si>
    <t>original source: Bloomer1981. All data from one borehole</t>
  </si>
  <si>
    <t>* std is given as standard error on K - is this correct? Data originally from Bloomer1981</t>
  </si>
  <si>
    <t>original source: Bloomer1981. All data from Kettleton Bottom borehole</t>
  </si>
  <si>
    <t>Original source: Richardson1978. Is uncertainty standard error or standard deviation?</t>
  </si>
  <si>
    <t>coal_measures_sandstone</t>
  </si>
  <si>
    <t>coal_measures_siltstone</t>
  </si>
  <si>
    <t>coal_measures_mudstone</t>
  </si>
  <si>
    <t>coal_measures_coal</t>
  </si>
  <si>
    <t>upper_old_red_sandstone</t>
  </si>
  <si>
    <t>upper_lias_sandstone</t>
  </si>
  <si>
    <t>upper_lias_mudstone</t>
  </si>
  <si>
    <t>upper_lias_silty_mudstone</t>
  </si>
  <si>
    <t>middle_lias_mudstone</t>
  </si>
  <si>
    <t>lower_lias_mudstone</t>
  </si>
  <si>
    <t>penarth_group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</si>
</sst>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9"/>
  <sheetViews>
    <sheetView tabSelected="1" topLeftCell="K1" workbookViewId="0">
      <pane ySplit="1" topLeftCell="A2" activePane="bottomLeft" state="frozen"/>
      <selection pane="bottomLeft" activeCell="L16" sqref="L16"/>
    </sheetView>
  </sheetViews>
  <sheetFormatPr baseColWidth="10" defaultColWidth="8.83203125" defaultRowHeight="15" x14ac:dyDescent="0.2"/>
  <cols>
    <col min="1" max="1" width="10.6640625" style="5" bestFit="1" customWidth="1"/>
    <col min="2" max="2" width="25.33203125" bestFit="1" customWidth="1"/>
    <col min="3" max="3" width="13.6640625" bestFit="1" customWidth="1"/>
    <col min="4" max="4" width="13" customWidth="1"/>
    <col min="5" max="5" width="13.6640625" bestFit="1" customWidth="1"/>
    <col min="6" max="6" width="14" bestFit="1" customWidth="1"/>
    <col min="7" max="7" width="17" bestFit="1" customWidth="1"/>
    <col min="8" max="8" width="13.83203125" bestFit="1" customWidth="1"/>
    <col min="9" max="10" width="13" customWidth="1"/>
    <col min="11" max="12" width="31.6640625" customWidth="1"/>
    <col min="13" max="13" width="15" customWidth="1"/>
    <col min="14" max="14" width="18.5" customWidth="1"/>
    <col min="15" max="15" width="16.6640625" customWidth="1"/>
    <col min="16" max="17" width="13.83203125" customWidth="1"/>
    <col min="18" max="18" width="16.6640625" customWidth="1"/>
    <col min="19" max="19" width="14.6640625" customWidth="1"/>
    <col min="20" max="20" width="14.1640625" bestFit="1" customWidth="1"/>
    <col min="21" max="21" width="0.1640625" customWidth="1"/>
    <col min="22" max="22" width="21.5" hidden="1" customWidth="1"/>
    <col min="23" max="23" width="0.1640625" customWidth="1"/>
    <col min="24" max="24" width="20.6640625" hidden="1" customWidth="1"/>
    <col min="25" max="25" width="0.1640625" customWidth="1"/>
    <col min="26" max="26" width="20" hidden="1" customWidth="1"/>
    <col min="27" max="27" width="20.1640625" hidden="1" customWidth="1"/>
    <col min="28" max="28" width="22" customWidth="1"/>
  </cols>
  <sheetData>
    <row r="1" spans="1:30" s="2" customFormat="1" ht="16" x14ac:dyDescent="0.2">
      <c r="A1" s="2" t="s">
        <v>88</v>
      </c>
      <c r="B1" s="2" t="s">
        <v>89</v>
      </c>
      <c r="C1" s="2" t="s">
        <v>118</v>
      </c>
      <c r="D1" s="2" t="s">
        <v>105</v>
      </c>
      <c r="E1" s="2" t="s">
        <v>90</v>
      </c>
      <c r="F1" s="2" t="s">
        <v>91</v>
      </c>
      <c r="G1" s="2" t="s">
        <v>92</v>
      </c>
      <c r="H1" s="3" t="s">
        <v>93</v>
      </c>
      <c r="I1" s="3" t="s">
        <v>94</v>
      </c>
      <c r="J1" s="3" t="s">
        <v>108</v>
      </c>
      <c r="K1" s="2" t="s">
        <v>104</v>
      </c>
      <c r="L1" s="2" t="s">
        <v>142</v>
      </c>
      <c r="M1" s="2" t="s">
        <v>16</v>
      </c>
      <c r="N1" s="2" t="s">
        <v>17</v>
      </c>
      <c r="O1" s="2" t="s">
        <v>18</v>
      </c>
      <c r="P1" s="2" t="s">
        <v>45</v>
      </c>
      <c r="Q1" s="2" t="s">
        <v>46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54</v>
      </c>
      <c r="X1" s="2" t="s">
        <v>55</v>
      </c>
      <c r="Y1" s="2" t="s">
        <v>24</v>
      </c>
      <c r="Z1" s="2" t="s">
        <v>25</v>
      </c>
      <c r="AA1" s="2" t="s">
        <v>26</v>
      </c>
      <c r="AB1" s="2" t="s">
        <v>117</v>
      </c>
      <c r="AC1" s="2" t="s">
        <v>31</v>
      </c>
      <c r="AD1" s="2" t="s">
        <v>102</v>
      </c>
    </row>
    <row r="2" spans="1:30" x14ac:dyDescent="0.2">
      <c r="A2" s="5" t="s">
        <v>139</v>
      </c>
      <c r="B2" s="2" t="s">
        <v>14</v>
      </c>
      <c r="E2" s="1" t="s">
        <v>2</v>
      </c>
    </row>
    <row r="3" spans="1:30" x14ac:dyDescent="0.2">
      <c r="B3" s="1" t="s">
        <v>14</v>
      </c>
      <c r="C3" t="s">
        <v>152</v>
      </c>
      <c r="E3" s="1"/>
      <c r="I3" t="s">
        <v>233</v>
      </c>
      <c r="K3" t="s">
        <v>159</v>
      </c>
      <c r="L3" s="6" t="s">
        <v>213</v>
      </c>
      <c r="M3">
        <v>10</v>
      </c>
      <c r="N3" t="s">
        <v>59</v>
      </c>
      <c r="O3" s="7">
        <v>2.12</v>
      </c>
      <c r="P3">
        <f>SQRT(M3)*Q3</f>
        <v>0.18973665961010278</v>
      </c>
      <c r="Q3" s="7">
        <v>0.06</v>
      </c>
      <c r="R3" t="s">
        <v>59</v>
      </c>
      <c r="S3" t="s">
        <v>59</v>
      </c>
      <c r="T3" t="s">
        <v>59</v>
      </c>
      <c r="AB3" t="s">
        <v>152</v>
      </c>
      <c r="AC3" t="s">
        <v>32</v>
      </c>
      <c r="AD3" t="s">
        <v>238</v>
      </c>
    </row>
    <row r="4" spans="1:30" x14ac:dyDescent="0.2">
      <c r="B4" s="1" t="s">
        <v>14</v>
      </c>
      <c r="C4" t="s">
        <v>152</v>
      </c>
      <c r="E4" s="1"/>
      <c r="I4" t="s">
        <v>100</v>
      </c>
      <c r="K4" t="s">
        <v>158</v>
      </c>
      <c r="L4" s="6" t="s">
        <v>214</v>
      </c>
      <c r="M4">
        <v>2</v>
      </c>
      <c r="N4" t="s">
        <v>59</v>
      </c>
      <c r="O4" s="7">
        <v>1.46</v>
      </c>
      <c r="P4">
        <f t="shared" ref="P4:P13" si="0">SQRT(M4)*Q4</f>
        <v>7.0710678118654766E-2</v>
      </c>
      <c r="Q4" s="7">
        <v>0.05</v>
      </c>
      <c r="R4" t="s">
        <v>59</v>
      </c>
      <c r="S4" t="s">
        <v>59</v>
      </c>
      <c r="T4" t="s">
        <v>59</v>
      </c>
      <c r="AB4" t="s">
        <v>152</v>
      </c>
      <c r="AC4" t="s">
        <v>32</v>
      </c>
      <c r="AD4" t="s">
        <v>238</v>
      </c>
    </row>
    <row r="5" spans="1:30" x14ac:dyDescent="0.2">
      <c r="B5" s="1" t="s">
        <v>14</v>
      </c>
      <c r="C5" t="s">
        <v>152</v>
      </c>
      <c r="E5" s="1"/>
      <c r="I5" t="s">
        <v>233</v>
      </c>
      <c r="K5" t="s">
        <v>160</v>
      </c>
      <c r="L5" s="6" t="s">
        <v>215</v>
      </c>
      <c r="M5">
        <v>14</v>
      </c>
      <c r="N5" t="s">
        <v>59</v>
      </c>
      <c r="O5" s="7">
        <v>2.2000000000000002</v>
      </c>
      <c r="P5">
        <f t="shared" si="0"/>
        <v>0.59866518188383067</v>
      </c>
      <c r="Q5" s="7">
        <v>0.16</v>
      </c>
      <c r="R5" t="s">
        <v>59</v>
      </c>
      <c r="S5" t="s">
        <v>59</v>
      </c>
      <c r="T5" t="s">
        <v>59</v>
      </c>
      <c r="AB5" t="s">
        <v>152</v>
      </c>
      <c r="AC5" t="s">
        <v>32</v>
      </c>
      <c r="AD5" t="s">
        <v>238</v>
      </c>
    </row>
    <row r="6" spans="1:30" x14ac:dyDescent="0.2">
      <c r="B6" s="1" t="s">
        <v>14</v>
      </c>
      <c r="C6" t="s">
        <v>152</v>
      </c>
      <c r="E6" s="1"/>
      <c r="I6" t="s">
        <v>100</v>
      </c>
      <c r="K6" t="s">
        <v>161</v>
      </c>
      <c r="L6" s="6" t="s">
        <v>216</v>
      </c>
      <c r="M6">
        <v>4</v>
      </c>
      <c r="N6" t="s">
        <v>59</v>
      </c>
      <c r="O6" s="7">
        <v>1.58</v>
      </c>
      <c r="P6">
        <f t="shared" si="0"/>
        <v>0.02</v>
      </c>
      <c r="Q6" s="7">
        <v>0.01</v>
      </c>
      <c r="R6" t="s">
        <v>59</v>
      </c>
      <c r="S6" t="s">
        <v>59</v>
      </c>
      <c r="T6" t="s">
        <v>59</v>
      </c>
      <c r="AB6" t="s">
        <v>152</v>
      </c>
      <c r="AC6" t="s">
        <v>32</v>
      </c>
      <c r="AD6" t="s">
        <v>238</v>
      </c>
    </row>
    <row r="7" spans="1:30" x14ac:dyDescent="0.2">
      <c r="B7" s="1" t="s">
        <v>14</v>
      </c>
      <c r="C7" t="s">
        <v>152</v>
      </c>
      <c r="E7" s="1"/>
      <c r="I7" t="s">
        <v>233</v>
      </c>
      <c r="K7" t="s">
        <v>33</v>
      </c>
      <c r="L7" s="6" t="s">
        <v>222</v>
      </c>
      <c r="M7">
        <v>5</v>
      </c>
      <c r="N7" t="s">
        <v>59</v>
      </c>
      <c r="O7" s="7">
        <v>2.4500000000000002</v>
      </c>
      <c r="P7">
        <f t="shared" si="0"/>
        <v>0.15652475842498531</v>
      </c>
      <c r="Q7" s="7">
        <v>7.0000000000000007E-2</v>
      </c>
      <c r="R7" t="s">
        <v>59</v>
      </c>
      <c r="S7" t="s">
        <v>59</v>
      </c>
      <c r="T7" t="s">
        <v>59</v>
      </c>
      <c r="AB7" t="s">
        <v>152</v>
      </c>
      <c r="AC7" t="s">
        <v>32</v>
      </c>
      <c r="AD7" t="s">
        <v>237</v>
      </c>
    </row>
    <row r="8" spans="1:30" x14ac:dyDescent="0.2">
      <c r="B8" s="1" t="s">
        <v>14</v>
      </c>
      <c r="C8" t="s">
        <v>152</v>
      </c>
      <c r="E8" s="1"/>
      <c r="I8" t="s">
        <v>233</v>
      </c>
      <c r="K8" t="s">
        <v>162</v>
      </c>
      <c r="L8" s="6" t="s">
        <v>217</v>
      </c>
      <c r="M8">
        <v>4</v>
      </c>
      <c r="N8" t="s">
        <v>59</v>
      </c>
      <c r="O8" s="7">
        <v>2.33</v>
      </c>
      <c r="P8">
        <f t="shared" si="0"/>
        <v>0.08</v>
      </c>
      <c r="Q8" s="7">
        <v>0.04</v>
      </c>
      <c r="R8" t="s">
        <v>59</v>
      </c>
      <c r="S8" t="s">
        <v>59</v>
      </c>
      <c r="T8" t="s">
        <v>59</v>
      </c>
      <c r="AB8" t="s">
        <v>152</v>
      </c>
      <c r="AC8" t="s">
        <v>32</v>
      </c>
      <c r="AD8" t="s">
        <v>238</v>
      </c>
    </row>
    <row r="9" spans="1:30" x14ac:dyDescent="0.2">
      <c r="B9" s="1" t="s">
        <v>14</v>
      </c>
      <c r="C9" t="s">
        <v>152</v>
      </c>
      <c r="E9" s="1"/>
      <c r="I9" t="s">
        <v>100</v>
      </c>
      <c r="K9" t="s">
        <v>163</v>
      </c>
      <c r="L9" s="6" t="s">
        <v>218</v>
      </c>
      <c r="M9">
        <v>10</v>
      </c>
      <c r="N9" t="s">
        <v>59</v>
      </c>
      <c r="O9" s="7">
        <v>1.63</v>
      </c>
      <c r="P9">
        <f t="shared" si="0"/>
        <v>0.34785054261852177</v>
      </c>
      <c r="Q9" s="7">
        <v>0.11</v>
      </c>
      <c r="R9" t="s">
        <v>59</v>
      </c>
      <c r="S9" t="s">
        <v>59</v>
      </c>
      <c r="T9" t="s">
        <v>59</v>
      </c>
      <c r="AB9" t="s">
        <v>152</v>
      </c>
      <c r="AC9" t="s">
        <v>32</v>
      </c>
      <c r="AD9" t="s">
        <v>238</v>
      </c>
    </row>
    <row r="10" spans="1:30" x14ac:dyDescent="0.2">
      <c r="B10" s="1" t="s">
        <v>14</v>
      </c>
      <c r="C10" t="s">
        <v>152</v>
      </c>
      <c r="E10" s="1"/>
      <c r="I10" t="s">
        <v>103</v>
      </c>
      <c r="K10" t="s">
        <v>48</v>
      </c>
      <c r="L10" s="6" t="s">
        <v>103</v>
      </c>
      <c r="M10">
        <v>41</v>
      </c>
      <c r="N10" t="s">
        <v>59</v>
      </c>
      <c r="O10" s="7">
        <v>1.79</v>
      </c>
      <c r="P10">
        <f t="shared" si="0"/>
        <v>3.4576870882137385</v>
      </c>
      <c r="Q10" s="7">
        <v>0.54</v>
      </c>
      <c r="R10" t="s">
        <v>59</v>
      </c>
      <c r="S10" t="s">
        <v>59</v>
      </c>
      <c r="T10" t="s">
        <v>59</v>
      </c>
      <c r="AB10" t="s">
        <v>152</v>
      </c>
      <c r="AC10" t="s">
        <v>32</v>
      </c>
    </row>
    <row r="11" spans="1:30" x14ac:dyDescent="0.2">
      <c r="B11" s="1" t="s">
        <v>14</v>
      </c>
      <c r="C11" t="s">
        <v>152</v>
      </c>
      <c r="E11" s="1"/>
      <c r="I11" t="s">
        <v>95</v>
      </c>
      <c r="K11" t="s">
        <v>164</v>
      </c>
      <c r="L11" s="6" t="s">
        <v>223</v>
      </c>
      <c r="M11">
        <v>18</v>
      </c>
      <c r="N11" t="s">
        <v>59</v>
      </c>
      <c r="O11" s="7">
        <v>2.66</v>
      </c>
      <c r="P11">
        <f t="shared" si="0"/>
        <v>0.8061017305526641</v>
      </c>
      <c r="Q11" s="7">
        <v>0.19</v>
      </c>
      <c r="R11" t="s">
        <v>59</v>
      </c>
      <c r="S11" t="s">
        <v>59</v>
      </c>
      <c r="T11" t="s">
        <v>59</v>
      </c>
      <c r="AB11" t="s">
        <v>152</v>
      </c>
      <c r="AC11" t="s">
        <v>32</v>
      </c>
    </row>
    <row r="12" spans="1:30" x14ac:dyDescent="0.2">
      <c r="B12" s="1" t="s">
        <v>14</v>
      </c>
      <c r="C12" t="s">
        <v>152</v>
      </c>
      <c r="E12" s="1"/>
      <c r="I12" t="s">
        <v>233</v>
      </c>
      <c r="K12" t="s">
        <v>165</v>
      </c>
      <c r="L12" s="6" t="s">
        <v>219</v>
      </c>
      <c r="M12">
        <v>32</v>
      </c>
      <c r="N12" t="s">
        <v>59</v>
      </c>
      <c r="O12" s="7">
        <v>2.3199999999999998</v>
      </c>
      <c r="P12">
        <f t="shared" si="0"/>
        <v>0.22627416997969524</v>
      </c>
      <c r="Q12" s="7">
        <v>0.04</v>
      </c>
      <c r="R12" t="s">
        <v>59</v>
      </c>
      <c r="S12" t="s">
        <v>59</v>
      </c>
      <c r="T12" t="s">
        <v>59</v>
      </c>
      <c r="AB12" t="s">
        <v>152</v>
      </c>
      <c r="AC12" t="s">
        <v>32</v>
      </c>
      <c r="AD12" t="s">
        <v>237</v>
      </c>
    </row>
    <row r="13" spans="1:30" x14ac:dyDescent="0.2">
      <c r="B13" s="1" t="s">
        <v>14</v>
      </c>
      <c r="C13" t="s">
        <v>152</v>
      </c>
      <c r="E13" s="1"/>
      <c r="I13" t="s">
        <v>100</v>
      </c>
      <c r="K13" t="s">
        <v>166</v>
      </c>
      <c r="L13" s="6" t="s">
        <v>220</v>
      </c>
      <c r="M13">
        <v>4</v>
      </c>
      <c r="N13" t="s">
        <v>59</v>
      </c>
      <c r="O13" s="7">
        <v>1.67</v>
      </c>
      <c r="P13">
        <f t="shared" si="0"/>
        <v>0.22</v>
      </c>
      <c r="Q13" s="7">
        <v>0.11</v>
      </c>
      <c r="R13" t="s">
        <v>59</v>
      </c>
      <c r="S13" t="s">
        <v>59</v>
      </c>
      <c r="T13" t="s">
        <v>59</v>
      </c>
      <c r="AB13" t="s">
        <v>152</v>
      </c>
      <c r="AC13" t="s">
        <v>32</v>
      </c>
      <c r="AD13" t="s">
        <v>238</v>
      </c>
    </row>
    <row r="14" spans="1:30" x14ac:dyDescent="0.2">
      <c r="B14" s="1" t="s">
        <v>14</v>
      </c>
      <c r="C14" t="s">
        <v>152</v>
      </c>
      <c r="E14" s="1"/>
      <c r="I14" t="s">
        <v>101</v>
      </c>
      <c r="K14" t="s">
        <v>167</v>
      </c>
      <c r="L14" s="6" t="s">
        <v>221</v>
      </c>
      <c r="M14">
        <v>2</v>
      </c>
      <c r="N14" t="s">
        <v>59</v>
      </c>
      <c r="O14" s="7">
        <v>2.0099999999999998</v>
      </c>
      <c r="Q14" s="7"/>
      <c r="R14" t="s">
        <v>59</v>
      </c>
      <c r="S14" t="s">
        <v>59</v>
      </c>
      <c r="T14" t="s">
        <v>59</v>
      </c>
      <c r="AB14" t="s">
        <v>152</v>
      </c>
      <c r="AC14" t="s">
        <v>32</v>
      </c>
    </row>
    <row r="15" spans="1:30" x14ac:dyDescent="0.2">
      <c r="B15" s="1" t="s">
        <v>14</v>
      </c>
      <c r="C15" t="s">
        <v>152</v>
      </c>
      <c r="E15" s="1"/>
      <c r="I15" t="s">
        <v>234</v>
      </c>
      <c r="K15" t="s">
        <v>168</v>
      </c>
      <c r="L15" s="6" t="s">
        <v>224</v>
      </c>
      <c r="M15">
        <v>3</v>
      </c>
      <c r="N15" t="s">
        <v>59</v>
      </c>
      <c r="O15" s="7">
        <v>1.26</v>
      </c>
      <c r="Q15" s="7"/>
      <c r="R15" t="s">
        <v>59</v>
      </c>
      <c r="S15" t="s">
        <v>59</v>
      </c>
      <c r="T15" t="s">
        <v>59</v>
      </c>
      <c r="AB15" t="s">
        <v>152</v>
      </c>
      <c r="AC15" t="s">
        <v>32</v>
      </c>
    </row>
    <row r="16" spans="1:30" x14ac:dyDescent="0.2">
      <c r="B16" s="1" t="s">
        <v>14</v>
      </c>
      <c r="C16" t="s">
        <v>152</v>
      </c>
      <c r="E16" s="1"/>
      <c r="I16" t="s">
        <v>100</v>
      </c>
      <c r="K16" t="s">
        <v>169</v>
      </c>
      <c r="L16" s="6" t="s">
        <v>225</v>
      </c>
      <c r="M16">
        <v>58</v>
      </c>
      <c r="N16" t="s">
        <v>59</v>
      </c>
      <c r="O16" s="7">
        <v>1.51</v>
      </c>
      <c r="P16">
        <f t="shared" ref="P16:P32" si="1">SQRT(M16)*Q16</f>
        <v>0.68541957952775179</v>
      </c>
      <c r="Q16" s="7">
        <v>0.09</v>
      </c>
      <c r="R16" t="s">
        <v>59</v>
      </c>
      <c r="S16" t="s">
        <v>59</v>
      </c>
      <c r="T16" t="s">
        <v>59</v>
      </c>
      <c r="AB16" t="s">
        <v>152</v>
      </c>
      <c r="AC16" t="s">
        <v>32</v>
      </c>
      <c r="AD16" t="s">
        <v>237</v>
      </c>
    </row>
    <row r="17" spans="2:30" x14ac:dyDescent="0.2">
      <c r="B17" s="1" t="s">
        <v>14</v>
      </c>
      <c r="C17" t="s">
        <v>152</v>
      </c>
      <c r="E17" s="1"/>
      <c r="I17" t="s">
        <v>100</v>
      </c>
      <c r="K17" t="s">
        <v>170</v>
      </c>
      <c r="L17" s="6" t="s">
        <v>226</v>
      </c>
      <c r="M17">
        <v>60</v>
      </c>
      <c r="N17" t="s">
        <v>59</v>
      </c>
      <c r="O17" s="7">
        <v>1.29</v>
      </c>
      <c r="P17">
        <f t="shared" si="1"/>
        <v>0.232379000772445</v>
      </c>
      <c r="Q17" s="7">
        <v>0.03</v>
      </c>
      <c r="R17" t="s">
        <v>59</v>
      </c>
      <c r="S17" t="s">
        <v>59</v>
      </c>
      <c r="T17" t="s">
        <v>59</v>
      </c>
      <c r="AB17" t="s">
        <v>152</v>
      </c>
      <c r="AC17" t="s">
        <v>32</v>
      </c>
      <c r="AD17" t="s">
        <v>240</v>
      </c>
    </row>
    <row r="18" spans="2:30" x14ac:dyDescent="0.2">
      <c r="B18" s="1" t="s">
        <v>14</v>
      </c>
      <c r="C18" t="s">
        <v>152</v>
      </c>
      <c r="E18" s="1"/>
      <c r="I18" t="s">
        <v>100</v>
      </c>
      <c r="K18" t="s">
        <v>35</v>
      </c>
      <c r="L18" s="6" t="s">
        <v>227</v>
      </c>
      <c r="M18">
        <v>27</v>
      </c>
      <c r="N18" t="s">
        <v>59</v>
      </c>
      <c r="O18" s="7">
        <v>1.56</v>
      </c>
      <c r="P18">
        <f t="shared" si="1"/>
        <v>0.46765371804359684</v>
      </c>
      <c r="Q18" s="7">
        <v>0.09</v>
      </c>
      <c r="R18" t="s">
        <v>59</v>
      </c>
      <c r="S18" t="s">
        <v>59</v>
      </c>
      <c r="T18" t="s">
        <v>59</v>
      </c>
      <c r="AB18" t="s">
        <v>152</v>
      </c>
      <c r="AC18" t="s">
        <v>32</v>
      </c>
      <c r="AD18" t="s">
        <v>240</v>
      </c>
    </row>
    <row r="19" spans="2:30" x14ac:dyDescent="0.2">
      <c r="B19" s="1" t="s">
        <v>14</v>
      </c>
      <c r="C19" t="s">
        <v>152</v>
      </c>
      <c r="E19" s="1"/>
      <c r="I19" t="s">
        <v>100</v>
      </c>
      <c r="K19" t="s">
        <v>171</v>
      </c>
      <c r="L19" s="6" t="s">
        <v>228</v>
      </c>
      <c r="M19">
        <v>21</v>
      </c>
      <c r="N19" t="s">
        <v>59</v>
      </c>
      <c r="O19" s="7">
        <v>1.52</v>
      </c>
      <c r="P19">
        <f t="shared" si="1"/>
        <v>0.1374772708486752</v>
      </c>
      <c r="Q19" s="7">
        <v>0.03</v>
      </c>
      <c r="R19" t="s">
        <v>59</v>
      </c>
      <c r="S19" t="s">
        <v>59</v>
      </c>
      <c r="T19" t="s">
        <v>59</v>
      </c>
      <c r="AB19" t="s">
        <v>152</v>
      </c>
      <c r="AC19" t="s">
        <v>32</v>
      </c>
      <c r="AD19" t="s">
        <v>237</v>
      </c>
    </row>
    <row r="20" spans="2:30" x14ac:dyDescent="0.2">
      <c r="B20" s="1" t="s">
        <v>14</v>
      </c>
      <c r="C20" t="s">
        <v>152</v>
      </c>
      <c r="E20" s="1"/>
      <c r="I20" t="s">
        <v>98</v>
      </c>
      <c r="K20" t="s">
        <v>172</v>
      </c>
      <c r="L20" s="6" t="s">
        <v>229</v>
      </c>
      <c r="M20">
        <v>5</v>
      </c>
      <c r="N20" t="s">
        <v>59</v>
      </c>
      <c r="O20" s="7">
        <v>2.29</v>
      </c>
      <c r="P20">
        <f t="shared" si="1"/>
        <v>0.3801315561749643</v>
      </c>
      <c r="Q20" s="7">
        <v>0.17</v>
      </c>
      <c r="R20" t="s">
        <v>59</v>
      </c>
      <c r="S20" t="s">
        <v>59</v>
      </c>
      <c r="T20" t="s">
        <v>59</v>
      </c>
      <c r="AB20" t="s">
        <v>152</v>
      </c>
      <c r="AC20" t="s">
        <v>32</v>
      </c>
    </row>
    <row r="21" spans="2:30" x14ac:dyDescent="0.2">
      <c r="B21" s="1" t="s">
        <v>14</v>
      </c>
      <c r="C21" t="s">
        <v>152</v>
      </c>
      <c r="E21" s="1"/>
      <c r="I21" t="s">
        <v>235</v>
      </c>
      <c r="K21" t="s">
        <v>42</v>
      </c>
      <c r="L21" s="6" t="s">
        <v>230</v>
      </c>
      <c r="M21">
        <v>37</v>
      </c>
      <c r="N21" t="s">
        <v>59</v>
      </c>
      <c r="O21" s="7">
        <v>1.8</v>
      </c>
      <c r="P21">
        <f t="shared" si="1"/>
        <v>0.42579337712087539</v>
      </c>
      <c r="Q21" s="7">
        <v>7.0000000000000007E-2</v>
      </c>
      <c r="R21" t="s">
        <v>59</v>
      </c>
      <c r="S21" t="s">
        <v>59</v>
      </c>
      <c r="T21" t="s">
        <v>59</v>
      </c>
      <c r="AB21" t="s">
        <v>152</v>
      </c>
      <c r="AC21" t="s">
        <v>32</v>
      </c>
      <c r="AD21" t="s">
        <v>237</v>
      </c>
    </row>
    <row r="22" spans="2:30" x14ac:dyDescent="0.2">
      <c r="B22" s="1" t="s">
        <v>14</v>
      </c>
      <c r="C22" t="s">
        <v>152</v>
      </c>
      <c r="E22" s="1"/>
      <c r="I22" t="s">
        <v>100</v>
      </c>
      <c r="K22" t="s">
        <v>173</v>
      </c>
      <c r="L22" s="6" t="s">
        <v>231</v>
      </c>
      <c r="M22">
        <v>15</v>
      </c>
      <c r="N22" t="s">
        <v>59</v>
      </c>
      <c r="O22" s="7">
        <v>1.72</v>
      </c>
      <c r="P22">
        <f t="shared" si="1"/>
        <v>4.2602816808281592</v>
      </c>
      <c r="Q22" s="7">
        <v>1.1000000000000001</v>
      </c>
      <c r="R22" t="s">
        <v>59</v>
      </c>
      <c r="S22" t="s">
        <v>59</v>
      </c>
      <c r="T22" t="s">
        <v>59</v>
      </c>
      <c r="AB22" t="s">
        <v>152</v>
      </c>
      <c r="AC22" t="s">
        <v>32</v>
      </c>
    </row>
    <row r="23" spans="2:30" x14ac:dyDescent="0.2">
      <c r="B23" s="1" t="s">
        <v>14</v>
      </c>
      <c r="C23" t="s">
        <v>152</v>
      </c>
      <c r="E23" s="1"/>
      <c r="I23" t="s">
        <v>100</v>
      </c>
      <c r="K23" t="s">
        <v>34</v>
      </c>
      <c r="L23" s="6" t="s">
        <v>232</v>
      </c>
      <c r="M23">
        <v>47</v>
      </c>
      <c r="N23" t="s">
        <v>59</v>
      </c>
      <c r="O23" s="7">
        <v>1.95</v>
      </c>
      <c r="P23">
        <f t="shared" si="1"/>
        <v>0.34278273002005222</v>
      </c>
      <c r="Q23" s="7">
        <v>0.05</v>
      </c>
      <c r="R23" t="s">
        <v>59</v>
      </c>
      <c r="S23" t="s">
        <v>59</v>
      </c>
      <c r="T23" t="s">
        <v>59</v>
      </c>
      <c r="AB23" t="s">
        <v>152</v>
      </c>
      <c r="AC23" t="s">
        <v>32</v>
      </c>
      <c r="AD23" t="s">
        <v>237</v>
      </c>
    </row>
    <row r="24" spans="2:30" x14ac:dyDescent="0.2">
      <c r="B24" s="1" t="s">
        <v>14</v>
      </c>
      <c r="C24" t="s">
        <v>152</v>
      </c>
      <c r="E24" s="1"/>
      <c r="I24" t="s">
        <v>95</v>
      </c>
      <c r="K24" t="s">
        <v>174</v>
      </c>
      <c r="L24" s="6" t="s">
        <v>247</v>
      </c>
      <c r="M24">
        <v>13</v>
      </c>
      <c r="N24" t="s">
        <v>59</v>
      </c>
      <c r="O24" s="7">
        <v>2.87</v>
      </c>
      <c r="P24">
        <f t="shared" si="1"/>
        <v>0.43266615305567868</v>
      </c>
      <c r="Q24" s="7">
        <v>0.12</v>
      </c>
      <c r="R24" t="s">
        <v>59</v>
      </c>
      <c r="S24" t="s">
        <v>59</v>
      </c>
      <c r="T24" t="s">
        <v>59</v>
      </c>
      <c r="AB24" t="s">
        <v>152</v>
      </c>
      <c r="AC24" t="s">
        <v>32</v>
      </c>
    </row>
    <row r="25" spans="2:30" x14ac:dyDescent="0.2">
      <c r="B25" s="1" t="s">
        <v>14</v>
      </c>
      <c r="C25" t="s">
        <v>152</v>
      </c>
      <c r="E25" s="1"/>
      <c r="I25" t="s">
        <v>100</v>
      </c>
      <c r="K25" t="s">
        <v>175</v>
      </c>
      <c r="L25" s="6" t="s">
        <v>248</v>
      </c>
      <c r="M25">
        <v>11</v>
      </c>
      <c r="N25" t="s">
        <v>59</v>
      </c>
      <c r="O25" s="7">
        <v>1.27</v>
      </c>
      <c r="P25">
        <f t="shared" si="1"/>
        <v>9.9498743710661988E-2</v>
      </c>
      <c r="Q25" s="7">
        <v>0.03</v>
      </c>
      <c r="R25" t="s">
        <v>59</v>
      </c>
      <c r="S25" t="s">
        <v>59</v>
      </c>
      <c r="T25" t="s">
        <v>59</v>
      </c>
      <c r="AB25" t="s">
        <v>152</v>
      </c>
      <c r="AC25" t="s">
        <v>32</v>
      </c>
      <c r="AD25" t="s">
        <v>240</v>
      </c>
    </row>
    <row r="26" spans="2:30" x14ac:dyDescent="0.2">
      <c r="B26" s="1" t="s">
        <v>14</v>
      </c>
      <c r="C26" t="s">
        <v>152</v>
      </c>
      <c r="E26" s="1"/>
      <c r="I26" t="s">
        <v>236</v>
      </c>
      <c r="K26" t="s">
        <v>176</v>
      </c>
      <c r="L26" s="6" t="s">
        <v>249</v>
      </c>
      <c r="M26">
        <v>11</v>
      </c>
      <c r="N26" t="s">
        <v>59</v>
      </c>
      <c r="O26" s="7">
        <v>2.2200000000000002</v>
      </c>
      <c r="P26">
        <f t="shared" si="1"/>
        <v>3.6482872693909401</v>
      </c>
      <c r="Q26" s="7">
        <v>1.1000000000000001</v>
      </c>
      <c r="R26" t="s">
        <v>59</v>
      </c>
      <c r="S26" t="s">
        <v>59</v>
      </c>
      <c r="T26" t="s">
        <v>59</v>
      </c>
      <c r="AB26" t="s">
        <v>152</v>
      </c>
      <c r="AC26" t="s">
        <v>32</v>
      </c>
    </row>
    <row r="27" spans="2:30" x14ac:dyDescent="0.2">
      <c r="B27" s="1" t="s">
        <v>14</v>
      </c>
      <c r="C27" t="s">
        <v>152</v>
      </c>
      <c r="E27" s="1"/>
      <c r="I27" t="s">
        <v>100</v>
      </c>
      <c r="K27" t="s">
        <v>177</v>
      </c>
      <c r="L27" s="6" t="s">
        <v>250</v>
      </c>
      <c r="M27">
        <v>3</v>
      </c>
      <c r="N27" t="s">
        <v>59</v>
      </c>
      <c r="O27" s="7">
        <v>1.66</v>
      </c>
      <c r="P27">
        <f t="shared" si="1"/>
        <v>0.25980762113533157</v>
      </c>
      <c r="Q27" s="7">
        <v>0.15</v>
      </c>
      <c r="R27" t="s">
        <v>59</v>
      </c>
      <c r="S27" t="s">
        <v>59</v>
      </c>
      <c r="T27" t="s">
        <v>59</v>
      </c>
      <c r="AB27" t="s">
        <v>152</v>
      </c>
      <c r="AC27" t="s">
        <v>32</v>
      </c>
      <c r="AD27" t="s">
        <v>240</v>
      </c>
    </row>
    <row r="28" spans="2:30" x14ac:dyDescent="0.2">
      <c r="B28" s="1" t="s">
        <v>14</v>
      </c>
      <c r="C28" t="s">
        <v>152</v>
      </c>
      <c r="E28" s="1"/>
      <c r="I28" t="s">
        <v>100</v>
      </c>
      <c r="K28" t="s">
        <v>178</v>
      </c>
      <c r="L28" s="6" t="s">
        <v>251</v>
      </c>
      <c r="M28">
        <v>37</v>
      </c>
      <c r="N28" t="s">
        <v>59</v>
      </c>
      <c r="O28" s="7">
        <v>1.8</v>
      </c>
      <c r="P28">
        <f t="shared" si="1"/>
        <v>6.6910387833280422</v>
      </c>
      <c r="Q28" s="7">
        <v>1.1000000000000001</v>
      </c>
      <c r="R28" t="s">
        <v>59</v>
      </c>
      <c r="S28" t="s">
        <v>59</v>
      </c>
      <c r="T28" t="s">
        <v>59</v>
      </c>
      <c r="AB28" t="s">
        <v>152</v>
      </c>
      <c r="AC28" t="s">
        <v>32</v>
      </c>
      <c r="AD28" t="s">
        <v>237</v>
      </c>
    </row>
    <row r="29" spans="2:30" x14ac:dyDescent="0.2">
      <c r="B29" s="1" t="s">
        <v>14</v>
      </c>
      <c r="C29" t="s">
        <v>152</v>
      </c>
      <c r="E29" s="1"/>
      <c r="I29" t="s">
        <v>236</v>
      </c>
      <c r="K29" t="s">
        <v>179</v>
      </c>
      <c r="L29" s="6" t="s">
        <v>252</v>
      </c>
      <c r="M29">
        <v>19</v>
      </c>
      <c r="N29" t="s">
        <v>59</v>
      </c>
      <c r="O29" s="7">
        <v>2.5299999999999998</v>
      </c>
      <c r="P29">
        <f t="shared" si="1"/>
        <v>0.47947888378947412</v>
      </c>
      <c r="Q29" s="7">
        <v>0.11</v>
      </c>
      <c r="R29" t="s">
        <v>59</v>
      </c>
      <c r="S29" t="s">
        <v>59</v>
      </c>
      <c r="T29" t="s">
        <v>59</v>
      </c>
      <c r="AB29" t="s">
        <v>152</v>
      </c>
      <c r="AC29" t="s">
        <v>32</v>
      </c>
    </row>
    <row r="30" spans="2:30" x14ac:dyDescent="0.2">
      <c r="B30" s="1" t="s">
        <v>14</v>
      </c>
      <c r="C30" t="s">
        <v>152</v>
      </c>
      <c r="D30" t="s">
        <v>10</v>
      </c>
      <c r="E30" t="s">
        <v>106</v>
      </c>
      <c r="I30" t="s">
        <v>100</v>
      </c>
      <c r="K30" t="s">
        <v>10</v>
      </c>
      <c r="L30" t="s">
        <v>143</v>
      </c>
      <c r="M30">
        <v>225</v>
      </c>
      <c r="N30" t="s">
        <v>59</v>
      </c>
      <c r="O30" s="7">
        <v>1.88</v>
      </c>
      <c r="P30">
        <f t="shared" si="1"/>
        <v>0.44999999999999996</v>
      </c>
      <c r="Q30" s="7">
        <v>0.03</v>
      </c>
      <c r="R30" t="s">
        <v>59</v>
      </c>
      <c r="S30" t="s">
        <v>59</v>
      </c>
      <c r="T30" t="s">
        <v>59</v>
      </c>
      <c r="AB30" t="s">
        <v>152</v>
      </c>
      <c r="AC30" t="s">
        <v>32</v>
      </c>
      <c r="AD30" t="s">
        <v>4</v>
      </c>
    </row>
    <row r="31" spans="2:30" x14ac:dyDescent="0.2">
      <c r="B31" s="1" t="s">
        <v>14</v>
      </c>
      <c r="C31" t="s">
        <v>152</v>
      </c>
      <c r="D31" t="s">
        <v>112</v>
      </c>
      <c r="E31" t="s">
        <v>107</v>
      </c>
      <c r="I31" t="s">
        <v>100</v>
      </c>
      <c r="K31" t="s">
        <v>3</v>
      </c>
      <c r="L31" t="s">
        <v>144</v>
      </c>
      <c r="M31">
        <v>41</v>
      </c>
      <c r="N31" t="s">
        <v>59</v>
      </c>
      <c r="O31" s="7">
        <v>2.2799999999999998</v>
      </c>
      <c r="P31">
        <f t="shared" si="1"/>
        <v>2.1130309983528401</v>
      </c>
      <c r="Q31" s="7">
        <v>0.33</v>
      </c>
      <c r="R31" t="s">
        <v>59</v>
      </c>
      <c r="S31" t="s">
        <v>59</v>
      </c>
      <c r="T31" t="s">
        <v>59</v>
      </c>
      <c r="AB31" t="s">
        <v>152</v>
      </c>
      <c r="AC31" t="s">
        <v>32</v>
      </c>
      <c r="AD31" t="s">
        <v>239</v>
      </c>
    </row>
    <row r="32" spans="2:30" x14ac:dyDescent="0.2">
      <c r="B32" s="1" t="s">
        <v>14</v>
      </c>
      <c r="C32" t="s">
        <v>152</v>
      </c>
      <c r="D32" t="s">
        <v>115</v>
      </c>
      <c r="E32" t="s">
        <v>116</v>
      </c>
      <c r="I32" t="s">
        <v>95</v>
      </c>
      <c r="K32" t="s">
        <v>125</v>
      </c>
      <c r="L32" t="s">
        <v>145</v>
      </c>
      <c r="M32">
        <v>64</v>
      </c>
      <c r="N32" t="s">
        <v>59</v>
      </c>
      <c r="O32" s="7">
        <v>3.41</v>
      </c>
      <c r="P32">
        <f t="shared" si="1"/>
        <v>0.72</v>
      </c>
      <c r="Q32" s="7">
        <v>0.09</v>
      </c>
      <c r="R32" t="s">
        <v>59</v>
      </c>
      <c r="S32" t="s">
        <v>59</v>
      </c>
      <c r="T32" t="s">
        <v>59</v>
      </c>
      <c r="AB32" t="s">
        <v>152</v>
      </c>
      <c r="AC32" t="s">
        <v>32</v>
      </c>
      <c r="AD32" t="s">
        <v>4</v>
      </c>
    </row>
    <row r="33" spans="2:30" x14ac:dyDescent="0.2">
      <c r="B33" s="1" t="s">
        <v>14</v>
      </c>
      <c r="C33" t="s">
        <v>152</v>
      </c>
      <c r="E33" t="s">
        <v>116</v>
      </c>
      <c r="I33" t="s">
        <v>100</v>
      </c>
      <c r="K33" t="s">
        <v>126</v>
      </c>
      <c r="L33" t="s">
        <v>146</v>
      </c>
      <c r="M33">
        <v>6</v>
      </c>
      <c r="N33" t="s">
        <v>59</v>
      </c>
      <c r="O33" s="7">
        <v>2.37</v>
      </c>
      <c r="P33" t="s">
        <v>127</v>
      </c>
      <c r="Q33" s="7"/>
      <c r="R33" t="s">
        <v>59</v>
      </c>
      <c r="S33" t="s">
        <v>59</v>
      </c>
      <c r="T33" t="s">
        <v>59</v>
      </c>
      <c r="AB33" t="s">
        <v>152</v>
      </c>
      <c r="AC33" t="s">
        <v>32</v>
      </c>
    </row>
    <row r="34" spans="2:30" x14ac:dyDescent="0.2">
      <c r="B34" s="1" t="s">
        <v>14</v>
      </c>
      <c r="C34" t="s">
        <v>152</v>
      </c>
      <c r="I34" t="s">
        <v>95</v>
      </c>
      <c r="K34" t="s">
        <v>128</v>
      </c>
      <c r="L34" t="s">
        <v>147</v>
      </c>
      <c r="M34">
        <v>8</v>
      </c>
      <c r="N34" t="s">
        <v>59</v>
      </c>
      <c r="O34" s="7">
        <v>2.54</v>
      </c>
      <c r="P34" t="s">
        <v>129</v>
      </c>
      <c r="Q34" s="7"/>
      <c r="R34" t="s">
        <v>59</v>
      </c>
      <c r="S34" t="s">
        <v>59</v>
      </c>
      <c r="T34" t="s">
        <v>59</v>
      </c>
      <c r="AB34" t="s">
        <v>152</v>
      </c>
      <c r="AC34" t="s">
        <v>32</v>
      </c>
    </row>
    <row r="35" spans="2:30" x14ac:dyDescent="0.2">
      <c r="B35" s="1" t="s">
        <v>14</v>
      </c>
      <c r="C35" t="s">
        <v>152</v>
      </c>
      <c r="I35" t="s">
        <v>136</v>
      </c>
      <c r="K35" t="s">
        <v>130</v>
      </c>
      <c r="L35" t="s">
        <v>148</v>
      </c>
      <c r="M35">
        <v>6</v>
      </c>
      <c r="N35" t="s">
        <v>59</v>
      </c>
      <c r="O35" s="7">
        <v>2.12</v>
      </c>
      <c r="P35" t="s">
        <v>133</v>
      </c>
      <c r="Q35" s="7"/>
      <c r="R35" t="s">
        <v>59</v>
      </c>
      <c r="S35" t="s">
        <v>59</v>
      </c>
      <c r="T35" t="s">
        <v>59</v>
      </c>
      <c r="AB35" t="s">
        <v>152</v>
      </c>
      <c r="AC35" t="s">
        <v>32</v>
      </c>
    </row>
    <row r="36" spans="2:30" x14ac:dyDescent="0.2">
      <c r="B36" s="1" t="s">
        <v>14</v>
      </c>
      <c r="C36" t="s">
        <v>152</v>
      </c>
      <c r="I36" t="s">
        <v>137</v>
      </c>
      <c r="K36" t="s">
        <v>131</v>
      </c>
      <c r="L36" t="s">
        <v>149</v>
      </c>
      <c r="M36">
        <v>8</v>
      </c>
      <c r="N36" t="s">
        <v>59</v>
      </c>
      <c r="O36" s="7">
        <v>5.4</v>
      </c>
      <c r="P36" t="s">
        <v>134</v>
      </c>
      <c r="Q36" s="7"/>
      <c r="R36" t="s">
        <v>59</v>
      </c>
      <c r="S36" t="s">
        <v>59</v>
      </c>
      <c r="T36" t="s">
        <v>59</v>
      </c>
      <c r="AB36" t="s">
        <v>152</v>
      </c>
      <c r="AC36" t="s">
        <v>32</v>
      </c>
    </row>
    <row r="37" spans="2:30" x14ac:dyDescent="0.2">
      <c r="B37" s="1" t="s">
        <v>14</v>
      </c>
      <c r="C37" t="s">
        <v>152</v>
      </c>
      <c r="I37" t="s">
        <v>138</v>
      </c>
      <c r="K37" t="s">
        <v>132</v>
      </c>
      <c r="L37" t="s">
        <v>150</v>
      </c>
      <c r="M37">
        <v>14</v>
      </c>
      <c r="N37" t="s">
        <v>59</v>
      </c>
      <c r="O37" s="7">
        <v>4.87</v>
      </c>
      <c r="P37" t="s">
        <v>135</v>
      </c>
      <c r="Q37" s="7"/>
      <c r="R37" t="s">
        <v>59</v>
      </c>
      <c r="S37" t="s">
        <v>59</v>
      </c>
      <c r="T37" t="s">
        <v>59</v>
      </c>
      <c r="AB37" t="s">
        <v>152</v>
      </c>
      <c r="AC37" t="s">
        <v>32</v>
      </c>
    </row>
    <row r="38" spans="2:30" x14ac:dyDescent="0.2">
      <c r="B38" s="1" t="s">
        <v>14</v>
      </c>
      <c r="C38" t="s">
        <v>152</v>
      </c>
      <c r="I38" t="s">
        <v>98</v>
      </c>
      <c r="K38" t="s">
        <v>5</v>
      </c>
      <c r="L38" t="s">
        <v>151</v>
      </c>
      <c r="M38">
        <v>12</v>
      </c>
      <c r="N38" t="s">
        <v>59</v>
      </c>
      <c r="O38" s="7">
        <v>3.32</v>
      </c>
      <c r="Q38" s="7">
        <v>0.17</v>
      </c>
      <c r="R38" t="s">
        <v>59</v>
      </c>
      <c r="S38" t="s">
        <v>59</v>
      </c>
      <c r="T38" t="s">
        <v>59</v>
      </c>
      <c r="AB38" t="s">
        <v>152</v>
      </c>
      <c r="AC38" t="s">
        <v>32</v>
      </c>
      <c r="AD38" t="s">
        <v>4</v>
      </c>
    </row>
    <row r="39" spans="2:30" x14ac:dyDescent="0.2">
      <c r="B39" s="1" t="s">
        <v>14</v>
      </c>
      <c r="C39" t="s">
        <v>152</v>
      </c>
      <c r="I39" t="s">
        <v>95</v>
      </c>
      <c r="K39" t="s">
        <v>6</v>
      </c>
      <c r="L39" t="s">
        <v>242</v>
      </c>
      <c r="M39">
        <v>37</v>
      </c>
      <c r="N39" t="s">
        <v>59</v>
      </c>
      <c r="O39" s="7">
        <v>3.31</v>
      </c>
      <c r="P39">
        <v>0.62</v>
      </c>
      <c r="Q39" s="7"/>
      <c r="R39" t="s">
        <v>59</v>
      </c>
      <c r="S39" t="s">
        <v>59</v>
      </c>
      <c r="T39" t="s">
        <v>59</v>
      </c>
      <c r="AB39" t="s">
        <v>152</v>
      </c>
      <c r="AC39" t="s">
        <v>32</v>
      </c>
      <c r="AD39" t="s">
        <v>241</v>
      </c>
    </row>
    <row r="40" spans="2:30" x14ac:dyDescent="0.2">
      <c r="B40" s="1" t="s">
        <v>14</v>
      </c>
      <c r="C40" t="s">
        <v>152</v>
      </c>
      <c r="I40" t="s">
        <v>101</v>
      </c>
      <c r="K40" t="s">
        <v>7</v>
      </c>
      <c r="L40" t="s">
        <v>243</v>
      </c>
      <c r="M40">
        <v>12</v>
      </c>
      <c r="N40" t="s">
        <v>59</v>
      </c>
      <c r="O40" s="7">
        <v>2.2200000000000002</v>
      </c>
      <c r="P40">
        <v>0.28999999999999998</v>
      </c>
      <c r="Q40" s="7"/>
      <c r="R40" t="s">
        <v>59</v>
      </c>
      <c r="S40" t="s">
        <v>59</v>
      </c>
      <c r="T40" t="s">
        <v>59</v>
      </c>
      <c r="AB40" t="s">
        <v>152</v>
      </c>
      <c r="AC40" t="s">
        <v>32</v>
      </c>
      <c r="AD40" t="s">
        <v>241</v>
      </c>
    </row>
    <row r="41" spans="2:30" x14ac:dyDescent="0.2">
      <c r="B41" s="1" t="s">
        <v>14</v>
      </c>
      <c r="C41" t="s">
        <v>152</v>
      </c>
      <c r="I41" t="s">
        <v>100</v>
      </c>
      <c r="K41" t="s">
        <v>8</v>
      </c>
      <c r="L41" t="s">
        <v>244</v>
      </c>
      <c r="M41">
        <v>25</v>
      </c>
      <c r="N41" t="s">
        <v>59</v>
      </c>
      <c r="O41" s="7">
        <v>1.49</v>
      </c>
      <c r="P41">
        <v>0.41</v>
      </c>
      <c r="Q41" s="7"/>
      <c r="R41" t="s">
        <v>59</v>
      </c>
      <c r="S41" t="s">
        <v>59</v>
      </c>
      <c r="T41" t="s">
        <v>59</v>
      </c>
      <c r="AB41" t="s">
        <v>152</v>
      </c>
      <c r="AC41" t="s">
        <v>32</v>
      </c>
      <c r="AD41" t="s">
        <v>241</v>
      </c>
    </row>
    <row r="42" spans="2:30" x14ac:dyDescent="0.2">
      <c r="B42" s="1" t="s">
        <v>14</v>
      </c>
      <c r="C42" t="s">
        <v>152</v>
      </c>
      <c r="I42" t="s">
        <v>97</v>
      </c>
      <c r="K42" t="s">
        <v>9</v>
      </c>
      <c r="L42" t="s">
        <v>245</v>
      </c>
      <c r="M42">
        <v>8</v>
      </c>
      <c r="N42" t="s">
        <v>59</v>
      </c>
      <c r="O42" s="7">
        <v>0.31</v>
      </c>
      <c r="P42">
        <v>0.08</v>
      </c>
      <c r="Q42" s="7"/>
      <c r="R42" t="s">
        <v>59</v>
      </c>
      <c r="S42" t="s">
        <v>59</v>
      </c>
      <c r="T42" t="s">
        <v>59</v>
      </c>
      <c r="AB42" t="s">
        <v>152</v>
      </c>
      <c r="AC42" t="s">
        <v>32</v>
      </c>
      <c r="AD42" t="s">
        <v>241</v>
      </c>
    </row>
    <row r="43" spans="2:30" x14ac:dyDescent="0.2">
      <c r="B43" s="1" t="s">
        <v>14</v>
      </c>
      <c r="C43" t="s">
        <v>152</v>
      </c>
      <c r="I43" t="s">
        <v>95</v>
      </c>
      <c r="K43" t="s">
        <v>180</v>
      </c>
      <c r="L43" t="s">
        <v>198</v>
      </c>
      <c r="M43">
        <v>7</v>
      </c>
      <c r="N43" t="s">
        <v>59</v>
      </c>
      <c r="O43" s="7">
        <v>3.75</v>
      </c>
      <c r="P43">
        <f t="shared" ref="P43:P59" si="2">SQRT(M43)*Q43</f>
        <v>0.42332020977033452</v>
      </c>
      <c r="Q43" s="7">
        <v>0.16</v>
      </c>
      <c r="R43" t="s">
        <v>59</v>
      </c>
      <c r="S43" t="s">
        <v>59</v>
      </c>
      <c r="T43" t="s">
        <v>59</v>
      </c>
      <c r="AB43" t="s">
        <v>152</v>
      </c>
      <c r="AC43" t="s">
        <v>32</v>
      </c>
    </row>
    <row r="44" spans="2:30" x14ac:dyDescent="0.2">
      <c r="B44" s="1" t="s">
        <v>14</v>
      </c>
      <c r="C44" t="s">
        <v>152</v>
      </c>
      <c r="I44" t="s">
        <v>98</v>
      </c>
      <c r="K44" t="s">
        <v>181</v>
      </c>
      <c r="L44" s="6" t="s">
        <v>200</v>
      </c>
      <c r="M44">
        <v>14</v>
      </c>
      <c r="N44" t="s">
        <v>59</v>
      </c>
      <c r="O44" s="7">
        <v>3.14</v>
      </c>
      <c r="P44">
        <f t="shared" si="2"/>
        <v>0.48641546028061239</v>
      </c>
      <c r="Q44" s="7">
        <v>0.13</v>
      </c>
      <c r="R44" t="s">
        <v>59</v>
      </c>
      <c r="S44" t="s">
        <v>59</v>
      </c>
      <c r="T44" t="s">
        <v>59</v>
      </c>
      <c r="AB44" t="s">
        <v>152</v>
      </c>
      <c r="AC44" t="s">
        <v>32</v>
      </c>
    </row>
    <row r="45" spans="2:30" x14ac:dyDescent="0.2">
      <c r="B45" s="1" t="s">
        <v>14</v>
      </c>
      <c r="C45" t="s">
        <v>152</v>
      </c>
      <c r="I45" t="s">
        <v>95</v>
      </c>
      <c r="K45" t="s">
        <v>182</v>
      </c>
      <c r="L45" s="6" t="s">
        <v>201</v>
      </c>
      <c r="M45">
        <v>76</v>
      </c>
      <c r="N45" t="s">
        <v>59</v>
      </c>
      <c r="O45" s="7">
        <v>4.1900000000000004</v>
      </c>
      <c r="P45">
        <f t="shared" si="2"/>
        <v>0.69742383096650784</v>
      </c>
      <c r="Q45" s="7">
        <v>0.08</v>
      </c>
      <c r="R45" t="s">
        <v>59</v>
      </c>
      <c r="S45" t="s">
        <v>59</v>
      </c>
      <c r="T45" t="s">
        <v>59</v>
      </c>
      <c r="AB45" t="s">
        <v>152</v>
      </c>
      <c r="AC45" t="s">
        <v>32</v>
      </c>
    </row>
    <row r="46" spans="2:30" x14ac:dyDescent="0.2">
      <c r="B46" s="1" t="s">
        <v>14</v>
      </c>
      <c r="C46" t="s">
        <v>152</v>
      </c>
      <c r="I46" t="s">
        <v>95</v>
      </c>
      <c r="K46" t="s">
        <v>183</v>
      </c>
      <c r="L46" s="6" t="s">
        <v>246</v>
      </c>
      <c r="M46">
        <v>27</v>
      </c>
      <c r="N46" t="s">
        <v>59</v>
      </c>
      <c r="O46" s="7">
        <v>3.26</v>
      </c>
      <c r="P46">
        <f t="shared" si="2"/>
        <v>0.57157676649772948</v>
      </c>
      <c r="Q46" s="7">
        <v>0.11</v>
      </c>
      <c r="R46" t="s">
        <v>59</v>
      </c>
      <c r="S46" t="s">
        <v>59</v>
      </c>
      <c r="T46" t="s">
        <v>59</v>
      </c>
      <c r="AB46" t="s">
        <v>152</v>
      </c>
      <c r="AC46" t="s">
        <v>32</v>
      </c>
    </row>
    <row r="47" spans="2:30" x14ac:dyDescent="0.2">
      <c r="B47" s="1" t="s">
        <v>14</v>
      </c>
      <c r="C47" t="s">
        <v>152</v>
      </c>
      <c r="I47" t="s">
        <v>101</v>
      </c>
      <c r="K47" t="s">
        <v>184</v>
      </c>
      <c r="L47" s="6" t="s">
        <v>202</v>
      </c>
      <c r="M47">
        <v>129</v>
      </c>
      <c r="N47" t="s">
        <v>59</v>
      </c>
      <c r="O47" s="7">
        <v>2.4900000000000002</v>
      </c>
      <c r="P47">
        <f t="shared" si="2"/>
        <v>0.90862533532804379</v>
      </c>
      <c r="Q47" s="7">
        <v>0.08</v>
      </c>
      <c r="R47" t="s">
        <v>59</v>
      </c>
      <c r="S47" t="s">
        <v>59</v>
      </c>
      <c r="T47" t="s">
        <v>59</v>
      </c>
      <c r="AB47" t="s">
        <v>152</v>
      </c>
      <c r="AC47" t="s">
        <v>32</v>
      </c>
    </row>
    <row r="48" spans="2:30" x14ac:dyDescent="0.2">
      <c r="B48" s="1" t="s">
        <v>14</v>
      </c>
      <c r="C48" t="s">
        <v>152</v>
      </c>
      <c r="I48" t="s">
        <v>95</v>
      </c>
      <c r="K48" t="s">
        <v>185</v>
      </c>
      <c r="L48" s="6" t="s">
        <v>203</v>
      </c>
      <c r="M48">
        <v>76</v>
      </c>
      <c r="N48" t="s">
        <v>59</v>
      </c>
      <c r="O48" s="7">
        <v>3.51</v>
      </c>
      <c r="P48">
        <f t="shared" si="2"/>
        <v>3.5742971337033524</v>
      </c>
      <c r="Q48" s="7">
        <v>0.41</v>
      </c>
      <c r="R48" t="s">
        <v>59</v>
      </c>
      <c r="S48" t="s">
        <v>59</v>
      </c>
      <c r="T48" t="s">
        <v>59</v>
      </c>
      <c r="AB48" t="s">
        <v>152</v>
      </c>
      <c r="AC48" t="s">
        <v>32</v>
      </c>
    </row>
    <row r="49" spans="1:29" x14ac:dyDescent="0.2">
      <c r="B49" s="1" t="s">
        <v>14</v>
      </c>
      <c r="C49" t="s">
        <v>152</v>
      </c>
      <c r="I49" t="s">
        <v>197</v>
      </c>
      <c r="K49" t="s">
        <v>186</v>
      </c>
      <c r="L49" s="6" t="s">
        <v>204</v>
      </c>
      <c r="M49">
        <v>206</v>
      </c>
      <c r="N49" t="s">
        <v>59</v>
      </c>
      <c r="O49" s="7">
        <v>2.69</v>
      </c>
      <c r="Q49" s="7"/>
      <c r="R49" t="s">
        <v>59</v>
      </c>
      <c r="S49" t="s">
        <v>59</v>
      </c>
      <c r="T49" t="s">
        <v>59</v>
      </c>
      <c r="AB49" t="s">
        <v>152</v>
      </c>
      <c r="AC49" t="s">
        <v>32</v>
      </c>
    </row>
    <row r="50" spans="1:29" x14ac:dyDescent="0.2">
      <c r="B50" s="1" t="s">
        <v>14</v>
      </c>
      <c r="C50" t="s">
        <v>152</v>
      </c>
      <c r="I50" t="s">
        <v>197</v>
      </c>
      <c r="K50" t="s">
        <v>187</v>
      </c>
      <c r="L50" s="6" t="s">
        <v>205</v>
      </c>
      <c r="M50">
        <v>67</v>
      </c>
      <c r="N50" t="s">
        <v>59</v>
      </c>
      <c r="O50" s="7">
        <v>3.33</v>
      </c>
      <c r="P50">
        <f t="shared" si="2"/>
        <v>0.40926763859362253</v>
      </c>
      <c r="Q50" s="7">
        <v>0.05</v>
      </c>
      <c r="R50" t="s">
        <v>59</v>
      </c>
      <c r="S50" t="s">
        <v>59</v>
      </c>
      <c r="T50" t="s">
        <v>59</v>
      </c>
      <c r="AB50" t="s">
        <v>152</v>
      </c>
      <c r="AC50" t="s">
        <v>32</v>
      </c>
    </row>
    <row r="51" spans="1:29" x14ac:dyDescent="0.2">
      <c r="B51" s="1" t="s">
        <v>14</v>
      </c>
      <c r="C51" t="s">
        <v>152</v>
      </c>
      <c r="I51" t="s">
        <v>100</v>
      </c>
      <c r="K51" t="s">
        <v>188</v>
      </c>
      <c r="L51" s="6" t="s">
        <v>206</v>
      </c>
      <c r="M51">
        <v>62</v>
      </c>
      <c r="N51" t="s">
        <v>59</v>
      </c>
      <c r="O51" s="7">
        <v>2.83</v>
      </c>
      <c r="P51">
        <f t="shared" si="2"/>
        <v>0.47244047244070864</v>
      </c>
      <c r="Q51" s="7">
        <v>0.06</v>
      </c>
      <c r="R51" t="s">
        <v>59</v>
      </c>
      <c r="S51" t="s">
        <v>59</v>
      </c>
      <c r="T51" t="s">
        <v>59</v>
      </c>
      <c r="AB51" t="s">
        <v>152</v>
      </c>
      <c r="AC51" t="s">
        <v>32</v>
      </c>
    </row>
    <row r="52" spans="1:29" x14ac:dyDescent="0.2">
      <c r="B52" s="1" t="s">
        <v>14</v>
      </c>
      <c r="C52" t="s">
        <v>152</v>
      </c>
      <c r="K52" t="s">
        <v>189</v>
      </c>
      <c r="L52" s="6" t="s">
        <v>207</v>
      </c>
      <c r="M52">
        <v>116</v>
      </c>
      <c r="N52" t="s">
        <v>59</v>
      </c>
      <c r="O52" s="7">
        <v>3.93</v>
      </c>
      <c r="P52">
        <f t="shared" si="2"/>
        <v>0.6462197768561404</v>
      </c>
      <c r="Q52" s="7">
        <v>0.06</v>
      </c>
      <c r="R52" t="s">
        <v>59</v>
      </c>
      <c r="S52" t="s">
        <v>59</v>
      </c>
      <c r="T52" t="s">
        <v>59</v>
      </c>
      <c r="AB52" t="s">
        <v>152</v>
      </c>
      <c r="AC52" t="s">
        <v>32</v>
      </c>
    </row>
    <row r="53" spans="1:29" x14ac:dyDescent="0.2">
      <c r="B53" s="1" t="s">
        <v>14</v>
      </c>
      <c r="C53" t="s">
        <v>152</v>
      </c>
      <c r="K53" t="s">
        <v>190</v>
      </c>
      <c r="L53" s="6" t="s">
        <v>208</v>
      </c>
      <c r="M53">
        <v>96</v>
      </c>
      <c r="N53" t="s">
        <v>59</v>
      </c>
      <c r="O53" s="7">
        <v>3.01</v>
      </c>
      <c r="P53">
        <f t="shared" si="2"/>
        <v>0.4898979485566356</v>
      </c>
      <c r="Q53" s="7">
        <v>0.05</v>
      </c>
      <c r="R53" t="s">
        <v>59</v>
      </c>
      <c r="S53" t="s">
        <v>59</v>
      </c>
      <c r="T53" t="s">
        <v>59</v>
      </c>
      <c r="AB53" t="s">
        <v>152</v>
      </c>
      <c r="AC53" t="s">
        <v>32</v>
      </c>
    </row>
    <row r="54" spans="1:29" x14ac:dyDescent="0.2">
      <c r="B54" s="1" t="s">
        <v>14</v>
      </c>
      <c r="C54" t="s">
        <v>152</v>
      </c>
      <c r="K54" t="s">
        <v>191</v>
      </c>
      <c r="L54" s="6" t="s">
        <v>209</v>
      </c>
      <c r="M54">
        <v>42</v>
      </c>
      <c r="N54" t="s">
        <v>59</v>
      </c>
      <c r="O54" s="7">
        <v>3.29</v>
      </c>
      <c r="P54">
        <f t="shared" si="2"/>
        <v>0.84249629079302191</v>
      </c>
      <c r="Q54" s="7">
        <v>0.13</v>
      </c>
      <c r="R54" t="s">
        <v>59</v>
      </c>
      <c r="S54" t="s">
        <v>59</v>
      </c>
      <c r="T54" t="s">
        <v>59</v>
      </c>
      <c r="AB54" t="s">
        <v>152</v>
      </c>
      <c r="AC54" t="s">
        <v>32</v>
      </c>
    </row>
    <row r="55" spans="1:29" x14ac:dyDescent="0.2">
      <c r="B55" s="1" t="s">
        <v>14</v>
      </c>
      <c r="C55" t="s">
        <v>152</v>
      </c>
      <c r="K55" t="s">
        <v>192</v>
      </c>
      <c r="L55" s="6" t="s">
        <v>210</v>
      </c>
      <c r="M55">
        <v>41</v>
      </c>
      <c r="N55" t="s">
        <v>59</v>
      </c>
      <c r="O55" s="7">
        <v>3.47</v>
      </c>
      <c r="P55">
        <f t="shared" si="2"/>
        <v>0.6403124237432849</v>
      </c>
      <c r="Q55" s="7">
        <v>0.1</v>
      </c>
      <c r="R55" t="s">
        <v>59</v>
      </c>
      <c r="S55" t="s">
        <v>59</v>
      </c>
      <c r="T55" t="s">
        <v>59</v>
      </c>
      <c r="AB55" t="s">
        <v>152</v>
      </c>
      <c r="AC55" t="s">
        <v>32</v>
      </c>
    </row>
    <row r="56" spans="1:29" x14ac:dyDescent="0.2">
      <c r="B56" s="1" t="s">
        <v>14</v>
      </c>
      <c r="C56" t="s">
        <v>152</v>
      </c>
      <c r="I56" t="s">
        <v>99</v>
      </c>
      <c r="K56" t="s">
        <v>193</v>
      </c>
      <c r="L56" s="6" t="s">
        <v>211</v>
      </c>
      <c r="M56">
        <v>895</v>
      </c>
      <c r="N56" t="s">
        <v>59</v>
      </c>
      <c r="O56" s="7">
        <v>3.3</v>
      </c>
      <c r="P56">
        <f t="shared" si="2"/>
        <v>5.3849791085945728</v>
      </c>
      <c r="Q56" s="7">
        <v>0.18</v>
      </c>
      <c r="R56" t="s">
        <v>59</v>
      </c>
      <c r="S56" t="s">
        <v>59</v>
      </c>
      <c r="T56" t="s">
        <v>59</v>
      </c>
      <c r="AB56" t="s">
        <v>152</v>
      </c>
      <c r="AC56" t="s">
        <v>32</v>
      </c>
    </row>
    <row r="57" spans="1:29" x14ac:dyDescent="0.2">
      <c r="B57" s="1" t="s">
        <v>14</v>
      </c>
      <c r="C57" t="s">
        <v>152</v>
      </c>
      <c r="I57" t="s">
        <v>99</v>
      </c>
      <c r="K57" t="s">
        <v>194</v>
      </c>
      <c r="L57" s="6" t="s">
        <v>212</v>
      </c>
      <c r="M57">
        <v>270</v>
      </c>
      <c r="N57" t="s">
        <v>59</v>
      </c>
      <c r="O57" s="7">
        <v>3.29</v>
      </c>
      <c r="P57">
        <f t="shared" si="2"/>
        <v>3.7792856467856462</v>
      </c>
      <c r="Q57" s="7">
        <v>0.23</v>
      </c>
      <c r="R57" t="s">
        <v>59</v>
      </c>
      <c r="S57" t="s">
        <v>59</v>
      </c>
      <c r="T57" t="s">
        <v>59</v>
      </c>
      <c r="AB57" t="s">
        <v>152</v>
      </c>
      <c r="AC57" t="s">
        <v>32</v>
      </c>
    </row>
    <row r="58" spans="1:29" x14ac:dyDescent="0.2">
      <c r="B58" s="1" t="s">
        <v>14</v>
      </c>
      <c r="C58" t="s">
        <v>152</v>
      </c>
      <c r="I58" t="s">
        <v>109</v>
      </c>
      <c r="K58" t="s">
        <v>110</v>
      </c>
      <c r="L58" s="6" t="s">
        <v>109</v>
      </c>
      <c r="M58">
        <v>12</v>
      </c>
      <c r="N58" t="s">
        <v>59</v>
      </c>
      <c r="O58" s="7">
        <v>1.75</v>
      </c>
      <c r="P58">
        <f t="shared" si="2"/>
        <v>0.17320508075688773</v>
      </c>
      <c r="Q58" s="7">
        <v>0.05</v>
      </c>
      <c r="R58" t="s">
        <v>59</v>
      </c>
      <c r="S58" t="s">
        <v>59</v>
      </c>
      <c r="T58" t="s">
        <v>59</v>
      </c>
      <c r="AB58" t="s">
        <v>152</v>
      </c>
      <c r="AC58" t="s">
        <v>32</v>
      </c>
    </row>
    <row r="59" spans="1:29" x14ac:dyDescent="0.2">
      <c r="B59" s="1" t="s">
        <v>14</v>
      </c>
      <c r="C59" t="s">
        <v>152</v>
      </c>
      <c r="I59" t="s">
        <v>196</v>
      </c>
      <c r="K59" t="s">
        <v>195</v>
      </c>
      <c r="L59" s="6" t="s">
        <v>199</v>
      </c>
      <c r="M59">
        <v>17</v>
      </c>
      <c r="N59" t="s">
        <v>59</v>
      </c>
      <c r="O59" s="7">
        <v>1.8</v>
      </c>
      <c r="P59">
        <f t="shared" si="2"/>
        <v>0.45354161881794269</v>
      </c>
      <c r="Q59" s="7">
        <v>0.11</v>
      </c>
      <c r="R59" t="s">
        <v>59</v>
      </c>
      <c r="S59" t="s">
        <v>59</v>
      </c>
      <c r="T59" t="s">
        <v>59</v>
      </c>
      <c r="AB59" t="s">
        <v>152</v>
      </c>
      <c r="AC59" t="s">
        <v>32</v>
      </c>
    </row>
    <row r="60" spans="1:29" x14ac:dyDescent="0.2">
      <c r="B60" s="1"/>
      <c r="AC60" t="s">
        <v>140</v>
      </c>
    </row>
    <row r="61" spans="1:29" x14ac:dyDescent="0.2">
      <c r="B61" s="1"/>
      <c r="AC61" t="s">
        <v>140</v>
      </c>
    </row>
    <row r="62" spans="1:29" x14ac:dyDescent="0.2">
      <c r="B62" s="1"/>
      <c r="AC62" t="s">
        <v>140</v>
      </c>
    </row>
    <row r="63" spans="1:29" x14ac:dyDescent="0.2">
      <c r="B63" s="1"/>
      <c r="AC63" t="s">
        <v>140</v>
      </c>
    </row>
    <row r="64" spans="1:29" x14ac:dyDescent="0.2">
      <c r="A64" s="5" t="s">
        <v>139</v>
      </c>
    </row>
    <row r="65" spans="1:30" x14ac:dyDescent="0.2">
      <c r="A65" s="5" t="s">
        <v>139</v>
      </c>
      <c r="B65" s="2" t="s">
        <v>15</v>
      </c>
      <c r="C65" s="1"/>
      <c r="D65" s="1"/>
      <c r="E65" s="1" t="s">
        <v>119</v>
      </c>
      <c r="F65" s="1"/>
      <c r="G65" s="1"/>
      <c r="H65" s="1"/>
      <c r="I65" s="1"/>
      <c r="J65" s="1"/>
      <c r="M65" s="2"/>
      <c r="AB65" s="1"/>
      <c r="AC65" s="1"/>
    </row>
    <row r="66" spans="1:30" x14ac:dyDescent="0.2">
      <c r="B66" s="1" t="s">
        <v>15</v>
      </c>
      <c r="C66" t="s">
        <v>153</v>
      </c>
      <c r="I66" t="s">
        <v>95</v>
      </c>
      <c r="K66" t="s">
        <v>30</v>
      </c>
      <c r="M66">
        <v>37</v>
      </c>
      <c r="O66">
        <f>CONVERT(V66,"c","J")*0.1</f>
        <v>3.3053600000000003</v>
      </c>
      <c r="P66">
        <f>CONVERT(W66,"c","J")*0.1</f>
        <v>0.62760000000000005</v>
      </c>
      <c r="V66">
        <v>7.9</v>
      </c>
      <c r="W66">
        <v>1.5</v>
      </c>
      <c r="AB66" t="s">
        <v>153</v>
      </c>
      <c r="AC66" t="s">
        <v>140</v>
      </c>
      <c r="AD66" t="s">
        <v>11</v>
      </c>
    </row>
    <row r="67" spans="1:30" x14ac:dyDescent="0.2">
      <c r="B67" s="1" t="s">
        <v>15</v>
      </c>
      <c r="C67" t="s">
        <v>153</v>
      </c>
      <c r="I67" t="s">
        <v>101</v>
      </c>
      <c r="K67" t="s">
        <v>29</v>
      </c>
      <c r="M67">
        <v>12</v>
      </c>
      <c r="O67">
        <f t="shared" ref="O67:O70" si="3">CONVERT(V67,"c","J")*0.1</f>
        <v>2.2175199999999999</v>
      </c>
      <c r="P67">
        <f t="shared" ref="P67:P70" si="4">CONVERT(W67,"c","J")*0.1</f>
        <v>0.29287999999999997</v>
      </c>
      <c r="V67">
        <v>5.3</v>
      </c>
      <c r="W67">
        <v>0.7</v>
      </c>
      <c r="AB67" t="s">
        <v>153</v>
      </c>
      <c r="AC67" t="s">
        <v>140</v>
      </c>
    </row>
    <row r="68" spans="1:30" x14ac:dyDescent="0.2">
      <c r="B68" s="1" t="s">
        <v>15</v>
      </c>
      <c r="C68" t="s">
        <v>153</v>
      </c>
      <c r="I68" t="s">
        <v>100</v>
      </c>
      <c r="K68" t="s">
        <v>28</v>
      </c>
      <c r="M68">
        <v>25</v>
      </c>
      <c r="O68">
        <f t="shared" si="3"/>
        <v>1.4936880000000001</v>
      </c>
      <c r="P68">
        <f t="shared" si="4"/>
        <v>0.37656000000000001</v>
      </c>
      <c r="V68">
        <v>3.57</v>
      </c>
      <c r="W68">
        <v>0.9</v>
      </c>
      <c r="AB68" t="s">
        <v>153</v>
      </c>
      <c r="AC68" t="s">
        <v>140</v>
      </c>
    </row>
    <row r="69" spans="1:30" x14ac:dyDescent="0.2">
      <c r="B69" s="1" t="s">
        <v>15</v>
      </c>
      <c r="C69" t="s">
        <v>153</v>
      </c>
      <c r="I69" t="s">
        <v>97</v>
      </c>
      <c r="K69" t="s">
        <v>27</v>
      </c>
      <c r="M69">
        <v>8</v>
      </c>
      <c r="O69">
        <f t="shared" si="3"/>
        <v>0.309616</v>
      </c>
      <c r="P69">
        <f t="shared" si="4"/>
        <v>8.3680000000000004E-2</v>
      </c>
      <c r="V69">
        <v>0.74</v>
      </c>
      <c r="W69">
        <v>0.2</v>
      </c>
      <c r="AB69" t="s">
        <v>153</v>
      </c>
      <c r="AC69" t="s">
        <v>140</v>
      </c>
      <c r="AD69" t="s">
        <v>11</v>
      </c>
    </row>
    <row r="70" spans="1:30" x14ac:dyDescent="0.2">
      <c r="B70" s="1" t="s">
        <v>15</v>
      </c>
      <c r="C70" t="s">
        <v>153</v>
      </c>
      <c r="I70" t="s">
        <v>98</v>
      </c>
      <c r="K70" t="s">
        <v>12</v>
      </c>
      <c r="M70">
        <v>43</v>
      </c>
      <c r="O70">
        <f t="shared" si="3"/>
        <v>3.4727200000000007</v>
      </c>
      <c r="P70">
        <f t="shared" si="4"/>
        <v>0.58575999999999995</v>
      </c>
      <c r="V70">
        <v>8.3000000000000007</v>
      </c>
      <c r="W70">
        <v>1.4</v>
      </c>
      <c r="AB70" t="s">
        <v>153</v>
      </c>
      <c r="AC70" t="s">
        <v>140</v>
      </c>
      <c r="AD70" t="s">
        <v>13</v>
      </c>
    </row>
    <row r="71" spans="1:30" x14ac:dyDescent="0.2">
      <c r="B71" s="1" t="s">
        <v>15</v>
      </c>
      <c r="C71" t="s">
        <v>153</v>
      </c>
      <c r="I71" t="s">
        <v>103</v>
      </c>
      <c r="K71" t="s">
        <v>48</v>
      </c>
      <c r="AB71" t="s">
        <v>153</v>
      </c>
      <c r="AC71" t="s">
        <v>140</v>
      </c>
    </row>
    <row r="72" spans="1:30" x14ac:dyDescent="0.2">
      <c r="B72" s="1" t="s">
        <v>15</v>
      </c>
      <c r="C72" t="s">
        <v>153</v>
      </c>
      <c r="I72" t="s">
        <v>100</v>
      </c>
      <c r="K72" t="s">
        <v>36</v>
      </c>
      <c r="AB72" t="s">
        <v>153</v>
      </c>
      <c r="AC72" t="s">
        <v>140</v>
      </c>
    </row>
    <row r="73" spans="1:30" x14ac:dyDescent="0.2">
      <c r="B73" s="1" t="s">
        <v>15</v>
      </c>
      <c r="C73" t="s">
        <v>153</v>
      </c>
      <c r="I73" t="s">
        <v>100</v>
      </c>
      <c r="K73" t="s">
        <v>49</v>
      </c>
      <c r="AB73" t="s">
        <v>153</v>
      </c>
      <c r="AC73" t="s">
        <v>140</v>
      </c>
    </row>
    <row r="74" spans="1:30" x14ac:dyDescent="0.2">
      <c r="B74" s="1" t="s">
        <v>15</v>
      </c>
      <c r="C74" t="s">
        <v>153</v>
      </c>
      <c r="I74" t="s">
        <v>100</v>
      </c>
      <c r="K74" t="s">
        <v>50</v>
      </c>
      <c r="AB74" t="s">
        <v>153</v>
      </c>
      <c r="AC74" t="s">
        <v>140</v>
      </c>
    </row>
    <row r="75" spans="1:30" x14ac:dyDescent="0.2">
      <c r="B75" s="1" t="s">
        <v>15</v>
      </c>
      <c r="C75" t="s">
        <v>153</v>
      </c>
      <c r="I75" t="s">
        <v>95</v>
      </c>
      <c r="K75" t="s">
        <v>51</v>
      </c>
      <c r="AB75" t="s">
        <v>153</v>
      </c>
      <c r="AC75" t="s">
        <v>140</v>
      </c>
    </row>
    <row r="76" spans="1:30" x14ac:dyDescent="0.2">
      <c r="B76" s="1" t="s">
        <v>15</v>
      </c>
      <c r="C76" t="s">
        <v>153</v>
      </c>
      <c r="I76" t="s">
        <v>100</v>
      </c>
      <c r="K76" t="s">
        <v>52</v>
      </c>
      <c r="AB76" t="s">
        <v>153</v>
      </c>
      <c r="AC76" t="s">
        <v>140</v>
      </c>
    </row>
    <row r="77" spans="1:30" x14ac:dyDescent="0.2">
      <c r="B77" s="1" t="s">
        <v>15</v>
      </c>
      <c r="C77" t="s">
        <v>153</v>
      </c>
      <c r="I77" t="s">
        <v>111</v>
      </c>
      <c r="K77" t="s">
        <v>53</v>
      </c>
      <c r="AB77" t="s">
        <v>153</v>
      </c>
      <c r="AC77" t="s">
        <v>140</v>
      </c>
    </row>
    <row r="78" spans="1:30" x14ac:dyDescent="0.2">
      <c r="AC78" t="s">
        <v>140</v>
      </c>
    </row>
    <row r="79" spans="1:30" x14ac:dyDescent="0.2">
      <c r="AC79" t="s">
        <v>140</v>
      </c>
    </row>
    <row r="80" spans="1:30" x14ac:dyDescent="0.2">
      <c r="AC80" t="s">
        <v>140</v>
      </c>
    </row>
    <row r="81" spans="1:29" x14ac:dyDescent="0.2">
      <c r="AC81" t="s">
        <v>140</v>
      </c>
    </row>
    <row r="82" spans="1:29" x14ac:dyDescent="0.2">
      <c r="AC82" t="s">
        <v>140</v>
      </c>
    </row>
    <row r="83" spans="1:29" x14ac:dyDescent="0.2">
      <c r="AC83" t="s">
        <v>140</v>
      </c>
    </row>
    <row r="84" spans="1:29" x14ac:dyDescent="0.2">
      <c r="A84" s="5" t="s">
        <v>139</v>
      </c>
    </row>
    <row r="85" spans="1:29" x14ac:dyDescent="0.2">
      <c r="A85" s="5" t="s">
        <v>139</v>
      </c>
      <c r="B85" s="2" t="s">
        <v>122</v>
      </c>
      <c r="C85" s="1"/>
      <c r="D85" s="1"/>
      <c r="E85" s="1" t="s">
        <v>121</v>
      </c>
      <c r="F85" s="1"/>
      <c r="G85" s="1"/>
      <c r="H85" s="1"/>
      <c r="I85" s="1"/>
      <c r="J85" s="1"/>
      <c r="AB85" s="1"/>
      <c r="AC85" s="1"/>
    </row>
    <row r="86" spans="1:29" x14ac:dyDescent="0.2">
      <c r="B86" s="1" t="s">
        <v>122</v>
      </c>
      <c r="C86" t="s">
        <v>154</v>
      </c>
      <c r="I86" t="s">
        <v>100</v>
      </c>
      <c r="K86" t="s">
        <v>37</v>
      </c>
      <c r="AB86" t="s">
        <v>154</v>
      </c>
      <c r="AC86" t="s">
        <v>140</v>
      </c>
    </row>
    <row r="87" spans="1:29" x14ac:dyDescent="0.2">
      <c r="B87" s="1" t="s">
        <v>122</v>
      </c>
      <c r="C87" t="s">
        <v>154</v>
      </c>
      <c r="I87" t="s">
        <v>100</v>
      </c>
      <c r="K87" t="s">
        <v>38</v>
      </c>
      <c r="AB87" t="s">
        <v>154</v>
      </c>
      <c r="AC87" t="s">
        <v>140</v>
      </c>
    </row>
    <row r="88" spans="1:29" x14ac:dyDescent="0.2">
      <c r="B88" s="1" t="s">
        <v>122</v>
      </c>
      <c r="C88" t="s">
        <v>154</v>
      </c>
      <c r="I88" t="s">
        <v>100</v>
      </c>
      <c r="K88" t="s">
        <v>33</v>
      </c>
      <c r="AB88" t="s">
        <v>154</v>
      </c>
      <c r="AC88" t="s">
        <v>140</v>
      </c>
    </row>
    <row r="89" spans="1:29" x14ac:dyDescent="0.2">
      <c r="B89" s="1" t="s">
        <v>122</v>
      </c>
      <c r="C89" t="s">
        <v>154</v>
      </c>
      <c r="I89" t="s">
        <v>100</v>
      </c>
      <c r="K89" t="s">
        <v>39</v>
      </c>
      <c r="AB89" t="s">
        <v>154</v>
      </c>
      <c r="AC89" t="s">
        <v>140</v>
      </c>
    </row>
    <row r="90" spans="1:29" x14ac:dyDescent="0.2">
      <c r="B90" s="1" t="s">
        <v>122</v>
      </c>
      <c r="C90" t="s">
        <v>154</v>
      </c>
      <c r="I90" t="s">
        <v>100</v>
      </c>
      <c r="K90" t="s">
        <v>40</v>
      </c>
      <c r="AB90" t="s">
        <v>154</v>
      </c>
      <c r="AC90" t="s">
        <v>140</v>
      </c>
    </row>
    <row r="91" spans="1:29" x14ac:dyDescent="0.2">
      <c r="B91" s="1" t="s">
        <v>122</v>
      </c>
      <c r="C91" t="s">
        <v>154</v>
      </c>
      <c r="I91" t="s">
        <v>100</v>
      </c>
      <c r="K91" t="s">
        <v>36</v>
      </c>
      <c r="AB91" t="s">
        <v>154</v>
      </c>
      <c r="AC91" t="s">
        <v>140</v>
      </c>
    </row>
    <row r="92" spans="1:29" x14ac:dyDescent="0.2">
      <c r="B92" s="1" t="s">
        <v>122</v>
      </c>
      <c r="C92" t="s">
        <v>154</v>
      </c>
      <c r="I92" t="s">
        <v>100</v>
      </c>
      <c r="K92" t="s">
        <v>35</v>
      </c>
      <c r="AB92" t="s">
        <v>154</v>
      </c>
      <c r="AC92" t="s">
        <v>140</v>
      </c>
    </row>
    <row r="93" spans="1:29" x14ac:dyDescent="0.2">
      <c r="B93" s="1" t="s">
        <v>122</v>
      </c>
      <c r="C93" t="s">
        <v>154</v>
      </c>
      <c r="I93" t="s">
        <v>100</v>
      </c>
      <c r="K93" t="s">
        <v>41</v>
      </c>
      <c r="AB93" t="s">
        <v>154</v>
      </c>
      <c r="AC93" t="s">
        <v>140</v>
      </c>
    </row>
    <row r="94" spans="1:29" x14ac:dyDescent="0.2">
      <c r="B94" s="1" t="s">
        <v>122</v>
      </c>
      <c r="C94" t="s">
        <v>154</v>
      </c>
      <c r="I94" t="s">
        <v>100</v>
      </c>
      <c r="K94" t="s">
        <v>42</v>
      </c>
      <c r="AB94" t="s">
        <v>154</v>
      </c>
      <c r="AC94" t="s">
        <v>140</v>
      </c>
    </row>
    <row r="95" spans="1:29" x14ac:dyDescent="0.2">
      <c r="B95" s="1" t="s">
        <v>122</v>
      </c>
      <c r="C95" t="s">
        <v>154</v>
      </c>
      <c r="I95" t="s">
        <v>100</v>
      </c>
      <c r="K95" t="s">
        <v>34</v>
      </c>
      <c r="AB95" t="s">
        <v>154</v>
      </c>
      <c r="AC95" t="s">
        <v>140</v>
      </c>
    </row>
    <row r="96" spans="1:29" x14ac:dyDescent="0.2">
      <c r="B96" s="1" t="s">
        <v>122</v>
      </c>
      <c r="C96" t="s">
        <v>154</v>
      </c>
      <c r="I96" t="s">
        <v>100</v>
      </c>
      <c r="K96" t="s">
        <v>43</v>
      </c>
      <c r="AB96" t="s">
        <v>154</v>
      </c>
      <c r="AC96" t="s">
        <v>140</v>
      </c>
    </row>
    <row r="97" spans="1:30" x14ac:dyDescent="0.2">
      <c r="B97" s="1" t="s">
        <v>122</v>
      </c>
      <c r="C97" t="s">
        <v>154</v>
      </c>
      <c r="I97" t="s">
        <v>100</v>
      </c>
      <c r="K97" t="s">
        <v>44</v>
      </c>
      <c r="M97">
        <v>41</v>
      </c>
      <c r="O97">
        <v>2.2799999999999998</v>
      </c>
      <c r="Q97">
        <v>0.33</v>
      </c>
      <c r="AB97" t="s">
        <v>154</v>
      </c>
      <c r="AC97" t="s">
        <v>140</v>
      </c>
      <c r="AD97" t="s">
        <v>47</v>
      </c>
    </row>
    <row r="98" spans="1:30" x14ac:dyDescent="0.2">
      <c r="A98" s="5" t="s">
        <v>139</v>
      </c>
    </row>
    <row r="99" spans="1:30" x14ac:dyDescent="0.2">
      <c r="A99" s="5" t="s">
        <v>139</v>
      </c>
      <c r="B99" s="2" t="s">
        <v>123</v>
      </c>
      <c r="C99" s="1"/>
      <c r="D99" s="1"/>
      <c r="E99" s="1"/>
      <c r="F99" s="1"/>
      <c r="G99" s="1"/>
      <c r="H99" s="1"/>
      <c r="I99" s="1"/>
      <c r="J99" s="1"/>
      <c r="AB99" s="1"/>
      <c r="AC99" s="1"/>
    </row>
    <row r="100" spans="1:30" x14ac:dyDescent="0.2">
      <c r="A100" s="5" t="s">
        <v>139</v>
      </c>
      <c r="B100" s="4" t="s">
        <v>60</v>
      </c>
      <c r="C100" s="1"/>
      <c r="D100" s="1"/>
      <c r="E100" s="1"/>
      <c r="F100" s="1"/>
      <c r="G100" s="1"/>
      <c r="H100" s="1"/>
      <c r="I100" s="1"/>
      <c r="J100" s="1"/>
      <c r="K100" s="1" t="s">
        <v>60</v>
      </c>
      <c r="L100" s="1"/>
      <c r="AB100" s="1"/>
      <c r="AC100" s="1"/>
    </row>
    <row r="101" spans="1:30" x14ac:dyDescent="0.2">
      <c r="B101" s="1" t="s">
        <v>123</v>
      </c>
      <c r="C101" t="s">
        <v>155</v>
      </c>
      <c r="I101" t="s">
        <v>99</v>
      </c>
      <c r="K101" t="s">
        <v>56</v>
      </c>
      <c r="M101">
        <v>21</v>
      </c>
      <c r="O101">
        <f t="shared" ref="O101" si="5">CONVERT(V101,"c","J")*0.1</f>
        <v>2.9413520000000002</v>
      </c>
      <c r="P101">
        <f t="shared" ref="P101" si="6">CONVERT(W101,"c","J")*0.1</f>
        <v>3.3472000000000002E-2</v>
      </c>
      <c r="Q101">
        <f>P101/SQRT(COUNT(O101:O105))</f>
        <v>1.4969133468574591E-2</v>
      </c>
      <c r="V101">
        <v>7.03</v>
      </c>
      <c r="W101">
        <v>0.08</v>
      </c>
      <c r="AB101" t="s">
        <v>155</v>
      </c>
      <c r="AC101" t="s">
        <v>140</v>
      </c>
      <c r="AD101" t="s">
        <v>57</v>
      </c>
    </row>
    <row r="102" spans="1:30" x14ac:dyDescent="0.2">
      <c r="B102" s="1" t="s">
        <v>123</v>
      </c>
      <c r="C102" t="s">
        <v>155</v>
      </c>
      <c r="I102" t="s">
        <v>98</v>
      </c>
      <c r="K102" t="s">
        <v>58</v>
      </c>
      <c r="M102">
        <v>1</v>
      </c>
      <c r="O102">
        <f t="shared" ref="O102:O103" si="7">CONVERT(V102,"c","J")*0.1</f>
        <v>2.6359200000000005</v>
      </c>
      <c r="V102">
        <v>6.3</v>
      </c>
      <c r="X102" t="s">
        <v>59</v>
      </c>
      <c r="AB102" t="s">
        <v>155</v>
      </c>
      <c r="AC102" t="s">
        <v>140</v>
      </c>
    </row>
    <row r="103" spans="1:30" x14ac:dyDescent="0.2">
      <c r="B103" s="1" t="s">
        <v>123</v>
      </c>
      <c r="C103" t="s">
        <v>155</v>
      </c>
      <c r="I103" t="s">
        <v>98</v>
      </c>
      <c r="K103" t="s">
        <v>58</v>
      </c>
      <c r="M103">
        <v>1</v>
      </c>
      <c r="O103">
        <f t="shared" si="7"/>
        <v>2.9706399999999999</v>
      </c>
      <c r="V103">
        <v>7.1</v>
      </c>
      <c r="X103" t="s">
        <v>59</v>
      </c>
      <c r="AB103" t="s">
        <v>155</v>
      </c>
      <c r="AC103" t="s">
        <v>140</v>
      </c>
    </row>
    <row r="104" spans="1:30" x14ac:dyDescent="0.2">
      <c r="B104" s="1" t="s">
        <v>123</v>
      </c>
      <c r="C104" t="s">
        <v>155</v>
      </c>
      <c r="I104" t="s">
        <v>95</v>
      </c>
      <c r="K104" t="s">
        <v>61</v>
      </c>
      <c r="M104">
        <v>1</v>
      </c>
      <c r="O104">
        <f t="shared" ref="O104:P110" si="8">CONVERT(V104,"c","J")*0.1</f>
        <v>4.0584800000000003</v>
      </c>
      <c r="V104">
        <v>9.6999999999999993</v>
      </c>
      <c r="X104" t="s">
        <v>59</v>
      </c>
      <c r="AB104" t="s">
        <v>155</v>
      </c>
      <c r="AC104" t="s">
        <v>140</v>
      </c>
    </row>
    <row r="105" spans="1:30" x14ac:dyDescent="0.2">
      <c r="B105" s="1" t="s">
        <v>123</v>
      </c>
      <c r="C105" t="s">
        <v>155</v>
      </c>
      <c r="I105" t="s">
        <v>109</v>
      </c>
      <c r="K105" t="s">
        <v>62</v>
      </c>
      <c r="M105">
        <v>1</v>
      </c>
      <c r="O105">
        <f t="shared" si="8"/>
        <v>2.1338400000000002</v>
      </c>
      <c r="V105">
        <v>5.0999999999999996</v>
      </c>
      <c r="X105" t="s">
        <v>59</v>
      </c>
      <c r="AB105" t="s">
        <v>155</v>
      </c>
      <c r="AC105" t="s">
        <v>140</v>
      </c>
    </row>
    <row r="106" spans="1:30" x14ac:dyDescent="0.2">
      <c r="A106" s="5" t="s">
        <v>139</v>
      </c>
      <c r="B106" s="1"/>
    </row>
    <row r="107" spans="1:30" x14ac:dyDescent="0.2">
      <c r="A107" s="5" t="s">
        <v>139</v>
      </c>
      <c r="B107" s="4" t="s">
        <v>63</v>
      </c>
      <c r="K107" s="1" t="s">
        <v>63</v>
      </c>
      <c r="L107" s="1"/>
    </row>
    <row r="108" spans="1:30" x14ac:dyDescent="0.2">
      <c r="B108" s="1" t="s">
        <v>123</v>
      </c>
      <c r="C108" t="s">
        <v>155</v>
      </c>
      <c r="I108" t="s">
        <v>95</v>
      </c>
      <c r="K108" t="s">
        <v>1</v>
      </c>
      <c r="M108">
        <v>24</v>
      </c>
      <c r="O108">
        <f t="shared" si="8"/>
        <v>3.9748000000000001</v>
      </c>
      <c r="P108" t="e">
        <f t="shared" si="8"/>
        <v>#VALUE!</v>
      </c>
      <c r="V108">
        <v>9.5</v>
      </c>
      <c r="W108" t="s">
        <v>59</v>
      </c>
      <c r="X108" t="s">
        <v>59</v>
      </c>
      <c r="AB108" t="s">
        <v>155</v>
      </c>
      <c r="AC108" t="s">
        <v>140</v>
      </c>
      <c r="AD108" t="s">
        <v>64</v>
      </c>
    </row>
    <row r="109" spans="1:30" x14ac:dyDescent="0.2">
      <c r="B109" s="1" t="s">
        <v>123</v>
      </c>
      <c r="C109" t="s">
        <v>155</v>
      </c>
      <c r="I109" t="s">
        <v>98</v>
      </c>
      <c r="K109" t="s">
        <v>0</v>
      </c>
      <c r="M109">
        <v>2</v>
      </c>
      <c r="O109">
        <f t="shared" si="8"/>
        <v>2.8451200000000001</v>
      </c>
      <c r="P109" t="e">
        <f t="shared" si="8"/>
        <v>#VALUE!</v>
      </c>
      <c r="V109">
        <v>6.8</v>
      </c>
      <c r="W109" t="s">
        <v>59</v>
      </c>
      <c r="X109" t="s">
        <v>59</v>
      </c>
      <c r="AB109" t="s">
        <v>155</v>
      </c>
      <c r="AC109" t="s">
        <v>140</v>
      </c>
      <c r="AD109" t="s">
        <v>64</v>
      </c>
    </row>
    <row r="110" spans="1:30" x14ac:dyDescent="0.2">
      <c r="B110" s="1" t="s">
        <v>123</v>
      </c>
      <c r="C110" t="s">
        <v>155</v>
      </c>
      <c r="I110" t="s">
        <v>109</v>
      </c>
      <c r="K110" t="s">
        <v>62</v>
      </c>
      <c r="M110">
        <v>1</v>
      </c>
      <c r="O110">
        <f t="shared" si="8"/>
        <v>2.2175199999999999</v>
      </c>
      <c r="V110">
        <v>5.3</v>
      </c>
      <c r="X110" t="s">
        <v>59</v>
      </c>
      <c r="AB110" t="s">
        <v>155</v>
      </c>
      <c r="AC110" t="s">
        <v>140</v>
      </c>
    </row>
    <row r="111" spans="1:30" x14ac:dyDescent="0.2">
      <c r="A111" s="5" t="s">
        <v>139</v>
      </c>
      <c r="B111" s="1"/>
    </row>
    <row r="112" spans="1:30" x14ac:dyDescent="0.2">
      <c r="A112" s="5" t="s">
        <v>139</v>
      </c>
      <c r="B112" s="2" t="s">
        <v>124</v>
      </c>
      <c r="C112" s="1"/>
      <c r="D112" s="1"/>
      <c r="E112" s="1"/>
      <c r="F112" s="1"/>
      <c r="G112" s="1"/>
      <c r="H112" s="1"/>
      <c r="I112" s="1"/>
      <c r="J112" s="1"/>
      <c r="AB112" s="1"/>
    </row>
    <row r="113" spans="1:29" x14ac:dyDescent="0.2">
      <c r="A113" s="5" t="s">
        <v>139</v>
      </c>
      <c r="B113" s="4" t="s">
        <v>3</v>
      </c>
      <c r="K113" s="1" t="s">
        <v>3</v>
      </c>
      <c r="L113" s="1"/>
    </row>
    <row r="114" spans="1:29" x14ac:dyDescent="0.2">
      <c r="B114" s="1" t="s">
        <v>124</v>
      </c>
      <c r="C114" t="s">
        <v>156</v>
      </c>
      <c r="K114" t="s">
        <v>65</v>
      </c>
      <c r="O114">
        <f t="shared" ref="O114:O118" si="9">CONVERT(V114,"c","J")*0.1</f>
        <v>1.514608</v>
      </c>
      <c r="V114">
        <v>3.62</v>
      </c>
      <c r="AB114" t="s">
        <v>156</v>
      </c>
      <c r="AC114" t="s">
        <v>140</v>
      </c>
    </row>
    <row r="115" spans="1:29" x14ac:dyDescent="0.2">
      <c r="B115" s="1" t="s">
        <v>124</v>
      </c>
      <c r="C115" t="s">
        <v>156</v>
      </c>
      <c r="O115">
        <f t="shared" si="9"/>
        <v>1.9455600000000002</v>
      </c>
      <c r="V115">
        <v>4.6500000000000004</v>
      </c>
      <c r="AB115" t="s">
        <v>156</v>
      </c>
      <c r="AC115" t="s">
        <v>140</v>
      </c>
    </row>
    <row r="116" spans="1:29" x14ac:dyDescent="0.2">
      <c r="B116" s="1" t="s">
        <v>124</v>
      </c>
      <c r="C116" t="s">
        <v>156</v>
      </c>
      <c r="O116">
        <f t="shared" si="9"/>
        <v>2.1966000000000001</v>
      </c>
      <c r="V116">
        <v>5.25</v>
      </c>
      <c r="AB116" t="s">
        <v>156</v>
      </c>
      <c r="AC116" t="s">
        <v>140</v>
      </c>
    </row>
    <row r="117" spans="1:29" x14ac:dyDescent="0.2">
      <c r="B117" s="1" t="s">
        <v>124</v>
      </c>
      <c r="C117" t="s">
        <v>156</v>
      </c>
      <c r="O117">
        <f t="shared" si="9"/>
        <v>0.92466399999999993</v>
      </c>
      <c r="V117">
        <v>2.21</v>
      </c>
      <c r="AB117" t="s">
        <v>156</v>
      </c>
      <c r="AC117" t="s">
        <v>140</v>
      </c>
    </row>
    <row r="118" spans="1:29" x14ac:dyDescent="0.2">
      <c r="B118" s="1" t="s">
        <v>124</v>
      </c>
      <c r="C118" t="s">
        <v>156</v>
      </c>
      <c r="O118">
        <f t="shared" si="9"/>
        <v>1.451848</v>
      </c>
      <c r="V118">
        <v>3.47</v>
      </c>
      <c r="AB118" t="s">
        <v>156</v>
      </c>
      <c r="AC118" t="s">
        <v>140</v>
      </c>
    </row>
    <row r="119" spans="1:29" x14ac:dyDescent="0.2">
      <c r="B119" s="1" t="s">
        <v>124</v>
      </c>
      <c r="C119" t="s">
        <v>156</v>
      </c>
      <c r="D119" t="s">
        <v>3</v>
      </c>
      <c r="E119" t="s">
        <v>107</v>
      </c>
      <c r="I119" t="s">
        <v>100</v>
      </c>
      <c r="K119" t="s">
        <v>66</v>
      </c>
      <c r="M119">
        <v>5</v>
      </c>
      <c r="O119">
        <f>AVERAGE(O114:O118)</f>
        <v>1.6066560000000003</v>
      </c>
      <c r="P119">
        <f>STDEV(O114:O118)</f>
        <v>0.4900105314133556</v>
      </c>
      <c r="Q119">
        <f>P119/SQRT(COUNT(O114:O118))</f>
        <v>0.21913937158621183</v>
      </c>
      <c r="V119">
        <f>AVERAGE(V114:V118)</f>
        <v>3.84</v>
      </c>
      <c r="AB119" t="s">
        <v>156</v>
      </c>
      <c r="AC119" t="s">
        <v>140</v>
      </c>
    </row>
    <row r="120" spans="1:29" x14ac:dyDescent="0.2">
      <c r="A120" s="5" t="s">
        <v>139</v>
      </c>
      <c r="B120" s="1"/>
    </row>
    <row r="121" spans="1:29" x14ac:dyDescent="0.2">
      <c r="A121" s="5" t="s">
        <v>139</v>
      </c>
      <c r="B121" s="4" t="s">
        <v>67</v>
      </c>
      <c r="K121" s="1" t="s">
        <v>67</v>
      </c>
      <c r="L121" s="1"/>
    </row>
    <row r="122" spans="1:29" x14ac:dyDescent="0.2">
      <c r="B122" s="1" t="s">
        <v>124</v>
      </c>
      <c r="C122" t="s">
        <v>156</v>
      </c>
      <c r="K122" t="s">
        <v>65</v>
      </c>
      <c r="O122">
        <f t="shared" ref="O122:O125" si="10">CONVERT(V122,"c","J")*0.1</f>
        <v>2.5940799999999999</v>
      </c>
      <c r="V122">
        <v>6.2</v>
      </c>
      <c r="AB122" t="s">
        <v>156</v>
      </c>
      <c r="AC122" t="s">
        <v>140</v>
      </c>
    </row>
    <row r="123" spans="1:29" x14ac:dyDescent="0.2">
      <c r="B123" s="1" t="s">
        <v>124</v>
      </c>
      <c r="C123" t="s">
        <v>156</v>
      </c>
      <c r="O123">
        <f t="shared" si="10"/>
        <v>2.8451200000000001</v>
      </c>
      <c r="V123">
        <v>6.8</v>
      </c>
      <c r="AB123" t="s">
        <v>156</v>
      </c>
      <c r="AC123" t="s">
        <v>140</v>
      </c>
    </row>
    <row r="124" spans="1:29" x14ac:dyDescent="0.2">
      <c r="B124" s="1" t="s">
        <v>124</v>
      </c>
      <c r="C124" t="s">
        <v>156</v>
      </c>
      <c r="O124">
        <f t="shared" si="10"/>
        <v>2.3848800000000003</v>
      </c>
      <c r="V124">
        <v>5.7</v>
      </c>
      <c r="AB124" t="s">
        <v>156</v>
      </c>
      <c r="AC124" t="s">
        <v>140</v>
      </c>
    </row>
    <row r="125" spans="1:29" x14ac:dyDescent="0.2">
      <c r="B125" s="1" t="s">
        <v>124</v>
      </c>
      <c r="C125" t="s">
        <v>156</v>
      </c>
      <c r="O125">
        <f t="shared" si="10"/>
        <v>4.9789600000000007</v>
      </c>
      <c r="V125">
        <v>11.9</v>
      </c>
      <c r="AB125" t="s">
        <v>156</v>
      </c>
      <c r="AC125" t="s">
        <v>140</v>
      </c>
    </row>
    <row r="126" spans="1:29" x14ac:dyDescent="0.2">
      <c r="B126" s="1" t="s">
        <v>124</v>
      </c>
      <c r="C126" t="s">
        <v>156</v>
      </c>
      <c r="I126" t="s">
        <v>95</v>
      </c>
      <c r="K126" t="s">
        <v>68</v>
      </c>
      <c r="M126">
        <v>4</v>
      </c>
      <c r="O126">
        <f>AVERAGE(O122:O125)</f>
        <v>3.2007600000000003</v>
      </c>
      <c r="P126">
        <f>STDEV(O122:O125)</f>
        <v>1.2003049399215193</v>
      </c>
      <c r="Q126">
        <f>P126/SQRT(COUNT(O122:O125))</f>
        <v>0.60015246996075966</v>
      </c>
      <c r="V126">
        <f>AVERAGE(V122:V125)</f>
        <v>7.65</v>
      </c>
      <c r="AB126" t="s">
        <v>156</v>
      </c>
      <c r="AC126" t="s">
        <v>140</v>
      </c>
    </row>
    <row r="127" spans="1:29" x14ac:dyDescent="0.2">
      <c r="A127" s="5" t="s">
        <v>139</v>
      </c>
      <c r="B127" s="1"/>
    </row>
    <row r="128" spans="1:29" x14ac:dyDescent="0.2">
      <c r="A128" s="5" t="s">
        <v>139</v>
      </c>
      <c r="B128" s="4" t="s">
        <v>69</v>
      </c>
      <c r="K128" s="1" t="s">
        <v>69</v>
      </c>
      <c r="L128" s="1"/>
    </row>
    <row r="129" spans="1:29" x14ac:dyDescent="0.2">
      <c r="B129" s="1" t="s">
        <v>124</v>
      </c>
      <c r="C129" t="s">
        <v>156</v>
      </c>
      <c r="K129" t="s">
        <v>65</v>
      </c>
      <c r="O129">
        <f t="shared" ref="O129:O133" si="11">CONVERT(V129,"c","J")*0.1</f>
        <v>2.7614400000000003</v>
      </c>
      <c r="V129">
        <v>6.6</v>
      </c>
      <c r="AB129" t="s">
        <v>156</v>
      </c>
      <c r="AC129" t="s">
        <v>140</v>
      </c>
    </row>
    <row r="130" spans="1:29" x14ac:dyDescent="0.2">
      <c r="B130" s="1" t="s">
        <v>124</v>
      </c>
      <c r="C130" t="s">
        <v>156</v>
      </c>
      <c r="O130">
        <f t="shared" si="11"/>
        <v>1.7572800000000002</v>
      </c>
      <c r="V130">
        <v>4.2</v>
      </c>
      <c r="AB130" t="s">
        <v>156</v>
      </c>
      <c r="AC130" t="s">
        <v>140</v>
      </c>
    </row>
    <row r="131" spans="1:29" x14ac:dyDescent="0.2">
      <c r="B131" s="1" t="s">
        <v>124</v>
      </c>
      <c r="C131" t="s">
        <v>156</v>
      </c>
      <c r="O131">
        <f t="shared" si="11"/>
        <v>2.6777600000000001</v>
      </c>
      <c r="V131">
        <v>6.4</v>
      </c>
      <c r="AB131" t="s">
        <v>156</v>
      </c>
      <c r="AC131" t="s">
        <v>140</v>
      </c>
    </row>
    <row r="132" spans="1:29" x14ac:dyDescent="0.2">
      <c r="B132" s="1" t="s">
        <v>124</v>
      </c>
      <c r="C132" t="s">
        <v>156</v>
      </c>
      <c r="O132">
        <f t="shared" si="11"/>
        <v>2.7614400000000003</v>
      </c>
      <c r="V132">
        <v>6.6</v>
      </c>
      <c r="AB132" t="s">
        <v>156</v>
      </c>
      <c r="AC132" t="s">
        <v>140</v>
      </c>
    </row>
    <row r="133" spans="1:29" x14ac:dyDescent="0.2">
      <c r="B133" s="1" t="s">
        <v>124</v>
      </c>
      <c r="C133" t="s">
        <v>156</v>
      </c>
      <c r="O133">
        <f t="shared" si="11"/>
        <v>1.50624</v>
      </c>
      <c r="V133">
        <v>3.6</v>
      </c>
      <c r="AB133" t="s">
        <v>156</v>
      </c>
      <c r="AC133" t="s">
        <v>140</v>
      </c>
    </row>
    <row r="134" spans="1:29" x14ac:dyDescent="0.2">
      <c r="B134" s="1" t="s">
        <v>124</v>
      </c>
      <c r="C134" t="s">
        <v>156</v>
      </c>
      <c r="I134" t="s">
        <v>100</v>
      </c>
      <c r="K134" t="s">
        <v>70</v>
      </c>
      <c r="M134">
        <v>5</v>
      </c>
      <c r="O134">
        <f>AVERAGE(O129:O133)</f>
        <v>2.2928320000000002</v>
      </c>
      <c r="P134">
        <f>STDEV(O129:O132)</f>
        <v>0.48972464426450912</v>
      </c>
      <c r="Q134">
        <f>P134/SQRT(COUNT(O129:O132))</f>
        <v>0.24486232213225456</v>
      </c>
      <c r="V134">
        <f>AVERAGE(V129:V133)</f>
        <v>5.4800000000000013</v>
      </c>
      <c r="AB134" t="s">
        <v>156</v>
      </c>
      <c r="AC134" t="s">
        <v>140</v>
      </c>
    </row>
    <row r="135" spans="1:29" x14ac:dyDescent="0.2">
      <c r="A135" s="5" t="s">
        <v>139</v>
      </c>
      <c r="B135" s="1"/>
    </row>
    <row r="136" spans="1:29" x14ac:dyDescent="0.2">
      <c r="A136" s="5" t="s">
        <v>139</v>
      </c>
      <c r="B136" s="4" t="s">
        <v>71</v>
      </c>
      <c r="K136" s="1" t="s">
        <v>71</v>
      </c>
      <c r="L136" s="1"/>
    </row>
    <row r="137" spans="1:29" x14ac:dyDescent="0.2">
      <c r="B137" s="1" t="s">
        <v>124</v>
      </c>
      <c r="C137" t="s">
        <v>156</v>
      </c>
      <c r="K137" t="s">
        <v>65</v>
      </c>
      <c r="O137">
        <f t="shared" ref="O137:O139" si="12">CONVERT(V137,"c","J")*0.1</f>
        <v>5.8994400000000002</v>
      </c>
      <c r="V137">
        <v>14.1</v>
      </c>
      <c r="AB137" t="s">
        <v>156</v>
      </c>
      <c r="AC137" t="s">
        <v>140</v>
      </c>
    </row>
    <row r="138" spans="1:29" x14ac:dyDescent="0.2">
      <c r="B138" s="1" t="s">
        <v>124</v>
      </c>
      <c r="C138" t="s">
        <v>156</v>
      </c>
      <c r="O138">
        <f t="shared" si="12"/>
        <v>5.3136800000000006</v>
      </c>
      <c r="V138">
        <v>12.7</v>
      </c>
      <c r="AB138" t="s">
        <v>156</v>
      </c>
      <c r="AC138" t="s">
        <v>140</v>
      </c>
    </row>
    <row r="139" spans="1:29" x14ac:dyDescent="0.2">
      <c r="B139" s="1" t="s">
        <v>124</v>
      </c>
      <c r="C139" t="s">
        <v>156</v>
      </c>
      <c r="O139">
        <f t="shared" si="12"/>
        <v>5.4392000000000005</v>
      </c>
      <c r="V139">
        <v>13</v>
      </c>
      <c r="AB139" t="s">
        <v>156</v>
      </c>
      <c r="AC139" t="s">
        <v>140</v>
      </c>
    </row>
    <row r="140" spans="1:29" x14ac:dyDescent="0.2">
      <c r="B140" s="1" t="s">
        <v>124</v>
      </c>
      <c r="C140" t="s">
        <v>156</v>
      </c>
      <c r="I140" t="s">
        <v>113</v>
      </c>
      <c r="J140" t="s">
        <v>114</v>
      </c>
      <c r="K140" t="s">
        <v>74</v>
      </c>
      <c r="M140">
        <v>3</v>
      </c>
      <c r="O140">
        <f>AVERAGE(O137:O139)</f>
        <v>5.5507733333333329</v>
      </c>
      <c r="P140">
        <f>STDEV(O137:O139)</f>
        <v>0.30840744305761042</v>
      </c>
      <c r="Q140">
        <f>P140/SQRT(COUNT(O137:O139))</f>
        <v>0.17805912026939558</v>
      </c>
      <c r="V140">
        <f>AVERAGE(V137:V139)</f>
        <v>13.266666666666666</v>
      </c>
      <c r="AB140" t="s">
        <v>156</v>
      </c>
      <c r="AC140" t="s">
        <v>140</v>
      </c>
    </row>
    <row r="141" spans="1:29" x14ac:dyDescent="0.2">
      <c r="A141" s="5" t="s">
        <v>139</v>
      </c>
      <c r="B141" s="1"/>
    </row>
    <row r="142" spans="1:29" x14ac:dyDescent="0.2">
      <c r="A142" s="5" t="s">
        <v>139</v>
      </c>
      <c r="B142" s="4" t="s">
        <v>72</v>
      </c>
      <c r="K142" s="1" t="s">
        <v>72</v>
      </c>
      <c r="L142" s="1"/>
    </row>
    <row r="143" spans="1:29" x14ac:dyDescent="0.2">
      <c r="B143" s="1" t="s">
        <v>124</v>
      </c>
      <c r="C143" t="s">
        <v>156</v>
      </c>
      <c r="K143" t="s">
        <v>65</v>
      </c>
      <c r="O143">
        <f t="shared" ref="O143:O145" si="13">CONVERT(V143,"c","J")*0.1</f>
        <v>5.5647200000000003</v>
      </c>
      <c r="V143">
        <v>13.3</v>
      </c>
      <c r="AB143" t="s">
        <v>156</v>
      </c>
      <c r="AC143" t="s">
        <v>140</v>
      </c>
    </row>
    <row r="144" spans="1:29" x14ac:dyDescent="0.2">
      <c r="B144" s="1" t="s">
        <v>124</v>
      </c>
      <c r="C144" t="s">
        <v>156</v>
      </c>
      <c r="O144">
        <f t="shared" si="13"/>
        <v>5.6484000000000005</v>
      </c>
      <c r="V144">
        <v>13.5</v>
      </c>
      <c r="AB144" t="s">
        <v>156</v>
      </c>
      <c r="AC144" t="s">
        <v>140</v>
      </c>
    </row>
    <row r="145" spans="1:29" x14ac:dyDescent="0.2">
      <c r="B145" s="1" t="s">
        <v>124</v>
      </c>
      <c r="C145" t="s">
        <v>156</v>
      </c>
      <c r="O145">
        <f t="shared" si="13"/>
        <v>5.6484000000000005</v>
      </c>
      <c r="V145">
        <v>13.5</v>
      </c>
      <c r="AB145" t="s">
        <v>156</v>
      </c>
      <c r="AC145" t="s">
        <v>140</v>
      </c>
    </row>
    <row r="146" spans="1:29" x14ac:dyDescent="0.2">
      <c r="B146" s="1" t="s">
        <v>124</v>
      </c>
      <c r="C146" t="s">
        <v>156</v>
      </c>
      <c r="I146" t="s">
        <v>113</v>
      </c>
      <c r="K146" t="s">
        <v>75</v>
      </c>
      <c r="M146">
        <v>3</v>
      </c>
      <c r="O146">
        <f>AVERAGE(O143:O145)</f>
        <v>5.6205066666666665</v>
      </c>
      <c r="P146">
        <f>STDEV(O143:O145)</f>
        <v>4.8312670525787998E-2</v>
      </c>
      <c r="Q146">
        <f>P146/SQRT(COUNT(O143:O145))</f>
        <v>2.7893333333333402E-2</v>
      </c>
      <c r="V146">
        <f>AVERAGE(V143:V145)</f>
        <v>13.433333333333332</v>
      </c>
      <c r="AB146" t="s">
        <v>156</v>
      </c>
      <c r="AC146" t="s">
        <v>140</v>
      </c>
    </row>
    <row r="147" spans="1:29" x14ac:dyDescent="0.2">
      <c r="A147" s="5" t="s">
        <v>139</v>
      </c>
      <c r="B147" s="1"/>
      <c r="AC147" t="s">
        <v>140</v>
      </c>
    </row>
    <row r="148" spans="1:29" x14ac:dyDescent="0.2">
      <c r="A148" s="5" t="s">
        <v>139</v>
      </c>
      <c r="B148" s="4" t="s">
        <v>73</v>
      </c>
      <c r="K148" s="1" t="s">
        <v>73</v>
      </c>
      <c r="L148" s="1"/>
      <c r="AC148" t="s">
        <v>140</v>
      </c>
    </row>
    <row r="149" spans="1:29" x14ac:dyDescent="0.2">
      <c r="B149" s="1" t="s">
        <v>124</v>
      </c>
      <c r="C149" t="s">
        <v>156</v>
      </c>
      <c r="K149" t="s">
        <v>65</v>
      </c>
      <c r="O149">
        <f t="shared" ref="O149:O151" si="14">CONVERT(V149,"c","J")*0.1</f>
        <v>4.0584800000000003</v>
      </c>
      <c r="V149">
        <v>9.6999999999999993</v>
      </c>
      <c r="AB149" t="s">
        <v>156</v>
      </c>
      <c r="AC149" t="s">
        <v>140</v>
      </c>
    </row>
    <row r="150" spans="1:29" x14ac:dyDescent="0.2">
      <c r="B150" s="1" t="s">
        <v>124</v>
      </c>
      <c r="C150" t="s">
        <v>156</v>
      </c>
      <c r="O150">
        <f t="shared" si="14"/>
        <v>4.8952800000000005</v>
      </c>
      <c r="V150">
        <v>11.7</v>
      </c>
      <c r="AB150" t="s">
        <v>156</v>
      </c>
      <c r="AC150" t="s">
        <v>140</v>
      </c>
    </row>
    <row r="151" spans="1:29" x14ac:dyDescent="0.2">
      <c r="B151" s="1" t="s">
        <v>124</v>
      </c>
      <c r="C151" t="s">
        <v>156</v>
      </c>
      <c r="O151">
        <f t="shared" si="14"/>
        <v>3.2635199999999998</v>
      </c>
      <c r="V151">
        <v>7.8</v>
      </c>
      <c r="AB151" t="s">
        <v>156</v>
      </c>
      <c r="AC151" t="s">
        <v>140</v>
      </c>
    </row>
    <row r="152" spans="1:29" x14ac:dyDescent="0.2">
      <c r="B152" s="1" t="s">
        <v>124</v>
      </c>
      <c r="C152" t="s">
        <v>156</v>
      </c>
      <c r="I152" t="s">
        <v>98</v>
      </c>
      <c r="K152" t="s">
        <v>76</v>
      </c>
      <c r="M152">
        <v>3</v>
      </c>
      <c r="O152">
        <f>AVERAGE(O149:O151)</f>
        <v>4.0724266666666669</v>
      </c>
      <c r="P152">
        <f>STDEV(O149:O151)</f>
        <v>0.81596939681175196</v>
      </c>
      <c r="Q152">
        <f>P152/SQRT(COUNT(O149:O151))</f>
        <v>0.47110015089976159</v>
      </c>
      <c r="V152">
        <f>AVERAGE(V149:V151)</f>
        <v>9.7333333333333325</v>
      </c>
      <c r="AB152" t="s">
        <v>156</v>
      </c>
      <c r="AC152" t="s">
        <v>140</v>
      </c>
    </row>
    <row r="153" spans="1:29" x14ac:dyDescent="0.2">
      <c r="A153" s="5" t="s">
        <v>139</v>
      </c>
      <c r="B153" s="1"/>
    </row>
    <row r="154" spans="1:29" x14ac:dyDescent="0.2">
      <c r="A154" s="5" t="s">
        <v>139</v>
      </c>
      <c r="B154" s="4" t="s">
        <v>77</v>
      </c>
      <c r="K154" s="1" t="s">
        <v>77</v>
      </c>
      <c r="L154" s="1"/>
    </row>
    <row r="155" spans="1:29" x14ac:dyDescent="0.2">
      <c r="B155" s="1" t="s">
        <v>124</v>
      </c>
      <c r="C155" t="s">
        <v>156</v>
      </c>
      <c r="K155" t="s">
        <v>65</v>
      </c>
      <c r="O155">
        <f t="shared" ref="O155:O160" si="15">CONVERT(V155,"c","J")*0.1</f>
        <v>3.2216800000000001</v>
      </c>
      <c r="V155">
        <v>7.7</v>
      </c>
      <c r="AB155" t="s">
        <v>156</v>
      </c>
      <c r="AC155" t="s">
        <v>140</v>
      </c>
    </row>
    <row r="156" spans="1:29" x14ac:dyDescent="0.2">
      <c r="B156" s="1" t="s">
        <v>124</v>
      </c>
      <c r="C156" t="s">
        <v>156</v>
      </c>
      <c r="O156">
        <f t="shared" si="15"/>
        <v>2.5522400000000003</v>
      </c>
      <c r="V156">
        <v>6.1</v>
      </c>
      <c r="AB156" t="s">
        <v>156</v>
      </c>
      <c r="AC156" t="s">
        <v>140</v>
      </c>
    </row>
    <row r="157" spans="1:29" x14ac:dyDescent="0.2">
      <c r="B157" s="1" t="s">
        <v>124</v>
      </c>
      <c r="C157" t="s">
        <v>156</v>
      </c>
      <c r="O157">
        <f t="shared" si="15"/>
        <v>2.8869600000000002</v>
      </c>
      <c r="V157">
        <v>6.9</v>
      </c>
      <c r="AB157" t="s">
        <v>156</v>
      </c>
      <c r="AC157" t="s">
        <v>140</v>
      </c>
    </row>
    <row r="158" spans="1:29" x14ac:dyDescent="0.2">
      <c r="B158" s="1" t="s">
        <v>124</v>
      </c>
      <c r="C158" t="s">
        <v>156</v>
      </c>
      <c r="O158">
        <f t="shared" si="15"/>
        <v>2.5940799999999999</v>
      </c>
      <c r="V158">
        <v>6.2</v>
      </c>
      <c r="AB158" t="s">
        <v>156</v>
      </c>
      <c r="AC158" t="s">
        <v>140</v>
      </c>
    </row>
    <row r="159" spans="1:29" x14ac:dyDescent="0.2">
      <c r="B159" s="1" t="s">
        <v>124</v>
      </c>
      <c r="C159" t="s">
        <v>156</v>
      </c>
      <c r="O159">
        <f t="shared" si="15"/>
        <v>3.01248</v>
      </c>
      <c r="V159">
        <v>7.2</v>
      </c>
      <c r="AB159" t="s">
        <v>156</v>
      </c>
      <c r="AC159" t="s">
        <v>140</v>
      </c>
    </row>
    <row r="160" spans="1:29" x14ac:dyDescent="0.2">
      <c r="B160" s="1" t="s">
        <v>124</v>
      </c>
      <c r="C160" t="s">
        <v>156</v>
      </c>
      <c r="O160">
        <f t="shared" si="15"/>
        <v>2.5104000000000002</v>
      </c>
      <c r="V160">
        <v>6</v>
      </c>
      <c r="AB160" t="s">
        <v>156</v>
      </c>
      <c r="AC160" t="s">
        <v>140</v>
      </c>
    </row>
    <row r="161" spans="1:29" x14ac:dyDescent="0.2">
      <c r="B161" s="1" t="s">
        <v>124</v>
      </c>
      <c r="C161" t="s">
        <v>156</v>
      </c>
      <c r="I161" t="s">
        <v>95</v>
      </c>
      <c r="K161" t="s">
        <v>79</v>
      </c>
      <c r="M161">
        <v>6</v>
      </c>
      <c r="O161">
        <f>AVERAGE(O155:O160)</f>
        <v>2.7963066666666667</v>
      </c>
      <c r="P161">
        <f>STDEV(O155:O158)</f>
        <v>0.31005858457179775</v>
      </c>
      <c r="Q161">
        <f>P161/SQRT(COUNT(O155:O158))</f>
        <v>0.15502929228589887</v>
      </c>
      <c r="V161">
        <f>AVERAGE(V155:V160)</f>
        <v>6.6833333333333336</v>
      </c>
      <c r="AB161" t="s">
        <v>156</v>
      </c>
      <c r="AC161" t="s">
        <v>140</v>
      </c>
    </row>
    <row r="162" spans="1:29" x14ac:dyDescent="0.2">
      <c r="A162" s="5" t="s">
        <v>139</v>
      </c>
      <c r="B162" s="1"/>
    </row>
    <row r="163" spans="1:29" x14ac:dyDescent="0.2">
      <c r="A163" s="5" t="s">
        <v>139</v>
      </c>
      <c r="B163" s="4" t="s">
        <v>78</v>
      </c>
      <c r="K163" s="1" t="s">
        <v>78</v>
      </c>
      <c r="L163" s="1"/>
    </row>
    <row r="164" spans="1:29" x14ac:dyDescent="0.2">
      <c r="B164" s="1" t="s">
        <v>124</v>
      </c>
      <c r="C164" t="s">
        <v>156</v>
      </c>
      <c r="K164" t="s">
        <v>65</v>
      </c>
      <c r="O164">
        <f t="shared" ref="O164:O173" si="16">CONVERT(V164,"c","J")*0.1</f>
        <v>1.4811360000000002</v>
      </c>
      <c r="V164">
        <v>3.54</v>
      </c>
      <c r="AB164" t="s">
        <v>156</v>
      </c>
      <c r="AC164" t="s">
        <v>140</v>
      </c>
    </row>
    <row r="165" spans="1:29" x14ac:dyDescent="0.2">
      <c r="B165" s="1" t="s">
        <v>124</v>
      </c>
      <c r="C165" t="s">
        <v>156</v>
      </c>
      <c r="O165">
        <f t="shared" si="16"/>
        <v>1.2761200000000001</v>
      </c>
      <c r="V165">
        <v>3.05</v>
      </c>
      <c r="AB165" t="s">
        <v>156</v>
      </c>
      <c r="AC165" t="s">
        <v>140</v>
      </c>
    </row>
    <row r="166" spans="1:29" x14ac:dyDescent="0.2">
      <c r="B166" s="1" t="s">
        <v>124</v>
      </c>
      <c r="C166" t="s">
        <v>156</v>
      </c>
      <c r="O166">
        <f t="shared" si="16"/>
        <v>1.4100080000000002</v>
      </c>
      <c r="V166">
        <v>3.37</v>
      </c>
      <c r="AB166" t="s">
        <v>156</v>
      </c>
      <c r="AC166" t="s">
        <v>140</v>
      </c>
    </row>
    <row r="167" spans="1:29" x14ac:dyDescent="0.2">
      <c r="B167" s="1" t="s">
        <v>124</v>
      </c>
      <c r="C167" t="s">
        <v>156</v>
      </c>
      <c r="O167">
        <f t="shared" si="16"/>
        <v>1.7907520000000003</v>
      </c>
      <c r="V167">
        <v>4.28</v>
      </c>
      <c r="AB167" t="s">
        <v>156</v>
      </c>
      <c r="AC167" t="s">
        <v>140</v>
      </c>
    </row>
    <row r="168" spans="1:29" x14ac:dyDescent="0.2">
      <c r="B168" s="1" t="s">
        <v>124</v>
      </c>
      <c r="C168" t="s">
        <v>156</v>
      </c>
      <c r="O168">
        <f t="shared" si="16"/>
        <v>1.347248</v>
      </c>
      <c r="V168">
        <v>3.22</v>
      </c>
      <c r="AB168" t="s">
        <v>156</v>
      </c>
      <c r="AC168" t="s">
        <v>140</v>
      </c>
    </row>
    <row r="169" spans="1:29" x14ac:dyDescent="0.2">
      <c r="B169" s="1" t="s">
        <v>124</v>
      </c>
      <c r="C169" t="s">
        <v>156</v>
      </c>
      <c r="O169">
        <f t="shared" si="16"/>
        <v>1.3723520000000002</v>
      </c>
      <c r="V169">
        <v>3.28</v>
      </c>
      <c r="AB169" t="s">
        <v>156</v>
      </c>
      <c r="AC169" t="s">
        <v>140</v>
      </c>
    </row>
    <row r="170" spans="1:29" x14ac:dyDescent="0.2">
      <c r="B170" s="1" t="s">
        <v>124</v>
      </c>
      <c r="C170" t="s">
        <v>156</v>
      </c>
      <c r="O170">
        <f t="shared" si="16"/>
        <v>1.4392960000000001</v>
      </c>
      <c r="V170">
        <v>3.44</v>
      </c>
      <c r="AB170" t="s">
        <v>156</v>
      </c>
      <c r="AC170" t="s">
        <v>140</v>
      </c>
    </row>
    <row r="171" spans="1:29" x14ac:dyDescent="0.2">
      <c r="B171" s="1" t="s">
        <v>124</v>
      </c>
      <c r="C171" t="s">
        <v>156</v>
      </c>
      <c r="O171">
        <f t="shared" si="16"/>
        <v>1.2426480000000002</v>
      </c>
      <c r="V171">
        <v>2.97</v>
      </c>
      <c r="AB171" t="s">
        <v>156</v>
      </c>
      <c r="AC171" t="s">
        <v>140</v>
      </c>
    </row>
    <row r="172" spans="1:29" x14ac:dyDescent="0.2">
      <c r="B172" s="1" t="s">
        <v>124</v>
      </c>
      <c r="C172" t="s">
        <v>156</v>
      </c>
      <c r="O172">
        <f t="shared" si="16"/>
        <v>1.2426480000000002</v>
      </c>
      <c r="V172">
        <v>2.97</v>
      </c>
      <c r="AB172" t="s">
        <v>156</v>
      </c>
      <c r="AC172" t="s">
        <v>140</v>
      </c>
    </row>
    <row r="173" spans="1:29" x14ac:dyDescent="0.2">
      <c r="B173" s="1" t="s">
        <v>124</v>
      </c>
      <c r="C173" t="s">
        <v>156</v>
      </c>
      <c r="O173">
        <f t="shared" si="16"/>
        <v>1.2091760000000003</v>
      </c>
      <c r="V173">
        <v>2.89</v>
      </c>
      <c r="AB173" t="s">
        <v>156</v>
      </c>
      <c r="AC173" t="s">
        <v>140</v>
      </c>
    </row>
    <row r="174" spans="1:29" x14ac:dyDescent="0.2">
      <c r="B174" s="1" t="s">
        <v>124</v>
      </c>
      <c r="C174" t="s">
        <v>156</v>
      </c>
      <c r="I174" t="s">
        <v>96</v>
      </c>
      <c r="K174" t="s">
        <v>80</v>
      </c>
      <c r="M174">
        <f>COUNT(V164:V173)</f>
        <v>10</v>
      </c>
      <c r="O174">
        <f>AVERAGE(O164:O173)</f>
        <v>1.3811384000000004</v>
      </c>
      <c r="P174">
        <f>STDEV(O164:O167)</f>
        <v>0.21807699435444106</v>
      </c>
      <c r="Q174">
        <f>P174/SQRT(COUNT(O164:O167))</f>
        <v>0.10903849717722053</v>
      </c>
      <c r="V174">
        <f>AVERAGE(V164:V173)</f>
        <v>3.3009999999999997</v>
      </c>
      <c r="AB174" t="s">
        <v>156</v>
      </c>
      <c r="AC174" t="s">
        <v>140</v>
      </c>
    </row>
    <row r="175" spans="1:29" x14ac:dyDescent="0.2">
      <c r="A175" s="5" t="s">
        <v>139</v>
      </c>
      <c r="B175" s="1"/>
    </row>
    <row r="176" spans="1:29" x14ac:dyDescent="0.2">
      <c r="A176" s="5" t="s">
        <v>139</v>
      </c>
      <c r="B176" s="4" t="s">
        <v>81</v>
      </c>
      <c r="K176" s="1" t="s">
        <v>81</v>
      </c>
      <c r="L176" s="1"/>
    </row>
    <row r="177" spans="1:30" x14ac:dyDescent="0.2">
      <c r="B177" s="1" t="s">
        <v>124</v>
      </c>
      <c r="C177" t="s">
        <v>156</v>
      </c>
      <c r="K177" t="s">
        <v>65</v>
      </c>
      <c r="O177">
        <f t="shared" ref="O177:O178" si="17">CONVERT(V177,"c","J")*0.1</f>
        <v>0.23848799999999995</v>
      </c>
      <c r="V177">
        <v>0.56999999999999995</v>
      </c>
      <c r="AB177" t="s">
        <v>156</v>
      </c>
      <c r="AC177" t="s">
        <v>140</v>
      </c>
    </row>
    <row r="178" spans="1:30" x14ac:dyDescent="0.2">
      <c r="B178" s="1" t="s">
        <v>124</v>
      </c>
      <c r="C178" t="s">
        <v>156</v>
      </c>
      <c r="O178">
        <f t="shared" si="17"/>
        <v>0.23430400000000004</v>
      </c>
      <c r="V178">
        <v>0.56000000000000005</v>
      </c>
      <c r="AB178" t="s">
        <v>156</v>
      </c>
      <c r="AC178" t="s">
        <v>140</v>
      </c>
      <c r="AD178" t="s">
        <v>82</v>
      </c>
    </row>
    <row r="179" spans="1:30" x14ac:dyDescent="0.2">
      <c r="B179" s="1" t="s">
        <v>124</v>
      </c>
      <c r="C179" t="s">
        <v>156</v>
      </c>
      <c r="I179" t="s">
        <v>97</v>
      </c>
      <c r="K179" t="s">
        <v>83</v>
      </c>
      <c r="M179">
        <v>2</v>
      </c>
      <c r="O179">
        <f>AVERAGE(O177:O178)</f>
        <v>0.236396</v>
      </c>
      <c r="P179">
        <f>STDEV(O177:O178)</f>
        <v>2.958534772484451E-3</v>
      </c>
      <c r="Q179">
        <f>P179/SQRT(COUNT(O177:O178))</f>
        <v>2.0919999999999546E-3</v>
      </c>
      <c r="V179">
        <f>AVERAGE(V177:V178)</f>
        <v>0.56499999999999995</v>
      </c>
      <c r="AB179" t="s">
        <v>156</v>
      </c>
      <c r="AC179" t="s">
        <v>140</v>
      </c>
    </row>
    <row r="180" spans="1:30" x14ac:dyDescent="0.2">
      <c r="A180" s="5" t="s">
        <v>139</v>
      </c>
      <c r="B180" s="1"/>
    </row>
    <row r="181" spans="1:30" x14ac:dyDescent="0.2">
      <c r="A181" s="5" t="s">
        <v>139</v>
      </c>
      <c r="B181" s="4" t="s">
        <v>84</v>
      </c>
      <c r="K181" s="1" t="s">
        <v>84</v>
      </c>
      <c r="L181" s="1"/>
    </row>
    <row r="182" spans="1:30" x14ac:dyDescent="0.2">
      <c r="B182" s="1" t="s">
        <v>124</v>
      </c>
      <c r="C182" t="s">
        <v>156</v>
      </c>
      <c r="K182" t="s">
        <v>65</v>
      </c>
      <c r="O182">
        <f t="shared" ref="O182:O189" si="18">CONVERT(V182,"c","J")*0.1</f>
        <v>3.5145600000000004</v>
      </c>
      <c r="V182">
        <v>8.4</v>
      </c>
      <c r="AB182" t="s">
        <v>156</v>
      </c>
      <c r="AC182" t="s">
        <v>140</v>
      </c>
    </row>
    <row r="183" spans="1:30" x14ac:dyDescent="0.2">
      <c r="B183" s="1" t="s">
        <v>124</v>
      </c>
      <c r="C183" t="s">
        <v>156</v>
      </c>
      <c r="O183">
        <f t="shared" si="18"/>
        <v>3.6400799999999998</v>
      </c>
      <c r="V183">
        <v>8.6999999999999993</v>
      </c>
      <c r="AB183" t="s">
        <v>156</v>
      </c>
      <c r="AC183" t="s">
        <v>140</v>
      </c>
    </row>
    <row r="184" spans="1:30" x14ac:dyDescent="0.2">
      <c r="B184" s="1" t="s">
        <v>124</v>
      </c>
      <c r="C184" t="s">
        <v>156</v>
      </c>
      <c r="O184">
        <f t="shared" si="18"/>
        <v>3.6819200000000003</v>
      </c>
      <c r="V184">
        <v>8.8000000000000007</v>
      </c>
      <c r="AB184" t="s">
        <v>156</v>
      </c>
      <c r="AC184" t="s">
        <v>140</v>
      </c>
    </row>
    <row r="185" spans="1:30" x14ac:dyDescent="0.2">
      <c r="B185" s="1" t="s">
        <v>124</v>
      </c>
      <c r="C185" t="s">
        <v>156</v>
      </c>
      <c r="O185">
        <f t="shared" si="18"/>
        <v>3.2216800000000001</v>
      </c>
      <c r="V185">
        <v>7.7</v>
      </c>
      <c r="AB185" t="s">
        <v>156</v>
      </c>
      <c r="AC185" t="s">
        <v>140</v>
      </c>
    </row>
    <row r="186" spans="1:30" x14ac:dyDescent="0.2">
      <c r="B186" s="1" t="s">
        <v>124</v>
      </c>
      <c r="C186" t="s">
        <v>156</v>
      </c>
      <c r="O186">
        <f t="shared" si="18"/>
        <v>4.6024000000000003</v>
      </c>
      <c r="V186">
        <v>11</v>
      </c>
      <c r="AB186" t="s">
        <v>156</v>
      </c>
      <c r="AC186" t="s">
        <v>140</v>
      </c>
    </row>
    <row r="187" spans="1:30" x14ac:dyDescent="0.2">
      <c r="B187" s="1" t="s">
        <v>124</v>
      </c>
      <c r="C187" t="s">
        <v>156</v>
      </c>
      <c r="O187">
        <f t="shared" si="18"/>
        <v>3.6819200000000003</v>
      </c>
      <c r="V187">
        <v>8.8000000000000007</v>
      </c>
      <c r="AB187" t="s">
        <v>156</v>
      </c>
      <c r="AC187" t="s">
        <v>140</v>
      </c>
    </row>
    <row r="188" spans="1:30" x14ac:dyDescent="0.2">
      <c r="B188" s="1" t="s">
        <v>124</v>
      </c>
      <c r="C188" t="s">
        <v>156</v>
      </c>
      <c r="O188">
        <f t="shared" si="18"/>
        <v>3.6819200000000003</v>
      </c>
      <c r="V188">
        <v>8.8000000000000007</v>
      </c>
      <c r="AB188" t="s">
        <v>156</v>
      </c>
      <c r="AC188" t="s">
        <v>140</v>
      </c>
    </row>
    <row r="189" spans="1:30" x14ac:dyDescent="0.2">
      <c r="B189" s="1" t="s">
        <v>124</v>
      </c>
      <c r="C189" t="s">
        <v>156</v>
      </c>
      <c r="O189">
        <f t="shared" si="18"/>
        <v>3.9748000000000001</v>
      </c>
      <c r="V189">
        <v>9.5</v>
      </c>
      <c r="AB189" t="s">
        <v>156</v>
      </c>
      <c r="AC189" t="s">
        <v>140</v>
      </c>
    </row>
    <row r="190" spans="1:30" x14ac:dyDescent="0.2">
      <c r="B190" s="1" t="s">
        <v>124</v>
      </c>
      <c r="C190" t="s">
        <v>156</v>
      </c>
      <c r="I190" t="s">
        <v>95</v>
      </c>
      <c r="K190" t="s">
        <v>86</v>
      </c>
      <c r="M190">
        <f>COUNT(V182:V189)</f>
        <v>8</v>
      </c>
      <c r="O190">
        <f>AVERAGE(O182:O189)</f>
        <v>3.7499100000000007</v>
      </c>
      <c r="P190">
        <f>STDEV(O182:O185)</f>
        <v>0.20780065319114535</v>
      </c>
      <c r="Q190">
        <f>P190/SQRT(COUNT(O182:O185))</f>
        <v>0.10390032659557268</v>
      </c>
      <c r="V190">
        <f>AVERAGE(V182:V189)</f>
        <v>8.9625000000000004</v>
      </c>
      <c r="AB190" t="s">
        <v>156</v>
      </c>
      <c r="AC190" t="s">
        <v>140</v>
      </c>
    </row>
    <row r="191" spans="1:30" x14ac:dyDescent="0.2">
      <c r="A191" s="5" t="s">
        <v>139</v>
      </c>
      <c r="B191" s="1"/>
    </row>
    <row r="192" spans="1:30" x14ac:dyDescent="0.2">
      <c r="A192" s="5" t="s">
        <v>139</v>
      </c>
      <c r="B192" s="4" t="s">
        <v>85</v>
      </c>
      <c r="K192" s="1" t="s">
        <v>85</v>
      </c>
      <c r="L192" s="1"/>
    </row>
    <row r="193" spans="1:29" x14ac:dyDescent="0.2">
      <c r="B193" s="1" t="s">
        <v>124</v>
      </c>
      <c r="C193" t="s">
        <v>156</v>
      </c>
      <c r="K193" t="s">
        <v>65</v>
      </c>
      <c r="O193">
        <f t="shared" ref="O193:O196" si="19">CONVERT(V193,"c","J")*0.1</f>
        <v>3.01248</v>
      </c>
      <c r="V193">
        <v>7.2</v>
      </c>
      <c r="AB193" t="s">
        <v>156</v>
      </c>
      <c r="AC193" t="s">
        <v>140</v>
      </c>
    </row>
    <row r="194" spans="1:29" x14ac:dyDescent="0.2">
      <c r="B194" s="1" t="s">
        <v>124</v>
      </c>
      <c r="C194" t="s">
        <v>156</v>
      </c>
      <c r="O194">
        <f t="shared" si="19"/>
        <v>3.0961600000000002</v>
      </c>
      <c r="V194">
        <v>7.4</v>
      </c>
      <c r="AB194" t="s">
        <v>156</v>
      </c>
      <c r="AC194" t="s">
        <v>140</v>
      </c>
    </row>
    <row r="195" spans="1:29" x14ac:dyDescent="0.2">
      <c r="B195" s="1" t="s">
        <v>124</v>
      </c>
      <c r="C195" t="s">
        <v>156</v>
      </c>
      <c r="O195">
        <f t="shared" si="19"/>
        <v>3.01248</v>
      </c>
      <c r="V195">
        <v>7.2</v>
      </c>
      <c r="AB195" t="s">
        <v>156</v>
      </c>
      <c r="AC195" t="s">
        <v>140</v>
      </c>
    </row>
    <row r="196" spans="1:29" x14ac:dyDescent="0.2">
      <c r="B196" s="1" t="s">
        <v>124</v>
      </c>
      <c r="C196" t="s">
        <v>156</v>
      </c>
      <c r="O196">
        <f t="shared" si="19"/>
        <v>3.0543200000000001</v>
      </c>
      <c r="V196">
        <v>7.3</v>
      </c>
      <c r="AB196" t="s">
        <v>156</v>
      </c>
      <c r="AC196" t="s">
        <v>140</v>
      </c>
    </row>
    <row r="197" spans="1:29" x14ac:dyDescent="0.2">
      <c r="B197" s="1" t="s">
        <v>124</v>
      </c>
      <c r="C197" t="s">
        <v>156</v>
      </c>
      <c r="I197" t="s">
        <v>98</v>
      </c>
      <c r="K197" t="s">
        <v>87</v>
      </c>
      <c r="M197">
        <f>COUNT(V193:V196)</f>
        <v>4</v>
      </c>
      <c r="O197">
        <f>AVERAGE(O193:O196)</f>
        <v>3.0438600000000005</v>
      </c>
      <c r="P197">
        <f>STDEV(O193:O196)</f>
        <v>4.0058750188525283E-2</v>
      </c>
      <c r="Q197">
        <f>P197/SQRT(COUNT(O193:O196))</f>
        <v>2.0029375094262641E-2</v>
      </c>
      <c r="V197">
        <f>AVERAGE(V193:V196)</f>
        <v>7.2750000000000004</v>
      </c>
      <c r="AB197" t="s">
        <v>156</v>
      </c>
      <c r="AC197" t="s">
        <v>140</v>
      </c>
    </row>
    <row r="198" spans="1:29" x14ac:dyDescent="0.2">
      <c r="A198" s="5" t="s">
        <v>139</v>
      </c>
    </row>
    <row r="199" spans="1:29" x14ac:dyDescent="0.2">
      <c r="A199" s="5" t="s">
        <v>139</v>
      </c>
    </row>
    <row r="200" spans="1:29" x14ac:dyDescent="0.2">
      <c r="A200" s="5" t="s">
        <v>139</v>
      </c>
      <c r="B200" s="2" t="s">
        <v>141</v>
      </c>
    </row>
    <row r="201" spans="1:29" x14ac:dyDescent="0.2">
      <c r="A201" s="5" t="s">
        <v>139</v>
      </c>
    </row>
    <row r="202" spans="1:29" x14ac:dyDescent="0.2">
      <c r="A202" s="5" t="s">
        <v>139</v>
      </c>
      <c r="B202" s="2" t="s">
        <v>120</v>
      </c>
      <c r="C202" s="1"/>
      <c r="D202" s="1"/>
      <c r="E202" s="1"/>
      <c r="F202" s="1"/>
      <c r="G202" s="1"/>
      <c r="H202" s="1"/>
      <c r="I202" s="1"/>
      <c r="J202" s="1"/>
      <c r="AB202" s="1"/>
    </row>
    <row r="203" spans="1:29" x14ac:dyDescent="0.2">
      <c r="B203" s="1" t="s">
        <v>120</v>
      </c>
      <c r="C203" t="s">
        <v>157</v>
      </c>
      <c r="I203" t="s">
        <v>100</v>
      </c>
      <c r="K203" t="s">
        <v>33</v>
      </c>
      <c r="AB203" t="s">
        <v>157</v>
      </c>
      <c r="AC203" t="s">
        <v>140</v>
      </c>
    </row>
    <row r="204" spans="1:29" x14ac:dyDescent="0.2">
      <c r="B204" s="1" t="s">
        <v>120</v>
      </c>
      <c r="C204" t="s">
        <v>157</v>
      </c>
      <c r="I204" t="s">
        <v>100</v>
      </c>
      <c r="K204" t="s">
        <v>34</v>
      </c>
      <c r="AB204" t="s">
        <v>157</v>
      </c>
      <c r="AC204" t="s">
        <v>140</v>
      </c>
    </row>
    <row r="205" spans="1:29" x14ac:dyDescent="0.2">
      <c r="B205" s="1" t="s">
        <v>120</v>
      </c>
      <c r="C205" t="s">
        <v>157</v>
      </c>
      <c r="I205" t="s">
        <v>100</v>
      </c>
      <c r="K205" t="s">
        <v>35</v>
      </c>
      <c r="AB205" t="s">
        <v>157</v>
      </c>
      <c r="AC205" t="s">
        <v>140</v>
      </c>
    </row>
    <row r="206" spans="1:29" x14ac:dyDescent="0.2">
      <c r="B206" s="1" t="s">
        <v>120</v>
      </c>
      <c r="C206" t="s">
        <v>157</v>
      </c>
      <c r="I206" t="s">
        <v>100</v>
      </c>
      <c r="K206" t="s">
        <v>36</v>
      </c>
      <c r="AB206" t="s">
        <v>157</v>
      </c>
      <c r="AC206" t="s">
        <v>140</v>
      </c>
    </row>
    <row r="219" spans="4:12" x14ac:dyDescent="0.2">
      <c r="D219" s="1"/>
      <c r="E219" s="1"/>
      <c r="F219" s="1"/>
      <c r="G219" s="1"/>
      <c r="H219" s="1"/>
      <c r="I219" s="1"/>
      <c r="J219" s="1"/>
      <c r="K219" s="1"/>
      <c r="L2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2020-11-10T09:19:18Z</dcterms:created>
  <dcterms:modified xsi:type="dcterms:W3CDTF">2021-02-17T15:14:21Z</dcterms:modified>
  <cp:category/>
  <cp:contentStatus/>
</cp:coreProperties>
</file>